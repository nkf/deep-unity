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enne_projektmappe" defaultThemeVersion="124226"/>
  <bookViews>
    <workbookView xWindow="0" yWindow="48" windowWidth="22980" windowHeight="9552" tabRatio="967"/>
  </bookViews>
  <sheets>
    <sheet name="Table" sheetId="2" r:id="rId1"/>
    <sheet name="T-Tests" sheetId="28" r:id="rId2"/>
    <sheet name="control" sheetId="1" r:id="rId3"/>
    <sheet name="low-iteration" sheetId="11" r:id="rId4"/>
    <sheet name="prio-sweep" sheetId="12" r:id="rId5"/>
    <sheet name="human-assistance" sheetId="25" r:id="rId6"/>
    <sheet name="human-assistance-low-iteration" sheetId="26" r:id="rId7"/>
    <sheet name="early-termination" sheetId="4" r:id="rId8"/>
    <sheet name="hierachical-learning" sheetId="7" r:id="rId9"/>
    <sheet name="filter-count-3" sheetId="5" r:id="rId10"/>
    <sheet name="spatial-linear-state" sheetId="15" r:id="rId11"/>
    <sheet name="spatial-state" sheetId="16" r:id="rId12"/>
    <sheet name="linear-state" sheetId="10" r:id="rId13"/>
    <sheet name="linear-binned-state" sheetId="9" r:id="rId14"/>
    <sheet name="very-high-iteration" sheetId="17" r:id="rId15"/>
    <sheet name="very-high-iteration-full-batch" sheetId="27" r:id="rId16"/>
    <sheet name="high-iteration" sheetId="8" r:id="rId17"/>
    <sheet name="small-batchsize" sheetId="13" r:id="rId18"/>
    <sheet name="small-batchsize-small-poolsize" sheetId="14" r:id="rId19"/>
    <sheet name="large-poolsize" sheetId="24" r:id="rId20"/>
    <sheet name="large-batchsize-large-poolsize" sheetId="23" r:id="rId21"/>
    <sheet name="frame-stacking" sheetId="22" r:id="rId22"/>
    <sheet name="random-baseline" sheetId="18" r:id="rId23"/>
  </sheets>
  <calcPr calcId="145621"/>
</workbook>
</file>

<file path=xl/calcChain.xml><?xml version="1.0" encoding="utf-8"?>
<calcChain xmlns="http://schemas.openxmlformats.org/spreadsheetml/2006/main">
  <c r="V2" i="28" l="1"/>
  <c r="U3" i="28"/>
  <c r="U2" i="28"/>
  <c r="T4" i="28"/>
  <c r="T3" i="28"/>
  <c r="T2" i="28"/>
  <c r="S5" i="28"/>
  <c r="S4" i="28"/>
  <c r="S3" i="28"/>
  <c r="S2" i="28"/>
  <c r="R6" i="28"/>
  <c r="R5" i="28"/>
  <c r="R4" i="28"/>
  <c r="R3" i="28"/>
  <c r="R2" i="28"/>
  <c r="Q7" i="28"/>
  <c r="Q6" i="28"/>
  <c r="Q5" i="28"/>
  <c r="Q4" i="28"/>
  <c r="Q3" i="28"/>
  <c r="Q2" i="28"/>
  <c r="P8" i="28"/>
  <c r="P7" i="28"/>
  <c r="P6" i="28"/>
  <c r="P5" i="28"/>
  <c r="P4" i="28"/>
  <c r="P3" i="28"/>
  <c r="P2" i="28"/>
  <c r="O9" i="28"/>
  <c r="O8" i="28"/>
  <c r="O7" i="28"/>
  <c r="O6" i="28"/>
  <c r="O5" i="28"/>
  <c r="O4" i="28"/>
  <c r="O3" i="28"/>
  <c r="O2" i="28"/>
  <c r="N10" i="28"/>
  <c r="N9" i="28"/>
  <c r="N8" i="28"/>
  <c r="N7" i="28"/>
  <c r="N6" i="28"/>
  <c r="N5" i="28"/>
  <c r="N4" i="28"/>
  <c r="N3" i="28"/>
  <c r="N2" i="28"/>
  <c r="M11" i="28"/>
  <c r="M10" i="28"/>
  <c r="M9" i="28"/>
  <c r="M8" i="28"/>
  <c r="M7" i="28"/>
  <c r="M6" i="28"/>
  <c r="M5" i="28"/>
  <c r="M4" i="28"/>
  <c r="M3" i="28"/>
  <c r="M2" i="28"/>
  <c r="L12" i="28"/>
  <c r="L11" i="28"/>
  <c r="L10" i="28"/>
  <c r="L9" i="28"/>
  <c r="L8" i="28"/>
  <c r="L7" i="28"/>
  <c r="L6" i="28"/>
  <c r="L5" i="28"/>
  <c r="L4" i="28"/>
  <c r="L3" i="28"/>
  <c r="L2" i="28"/>
  <c r="K13" i="28"/>
  <c r="K12" i="28"/>
  <c r="K11" i="28"/>
  <c r="K10" i="28"/>
  <c r="K9" i="28"/>
  <c r="K8" i="28"/>
  <c r="K7" i="28"/>
  <c r="K6" i="28"/>
  <c r="K5" i="28"/>
  <c r="K4" i="28"/>
  <c r="K3" i="28"/>
  <c r="K2" i="28"/>
  <c r="J14" i="28"/>
  <c r="J13" i="28"/>
  <c r="J12" i="28"/>
  <c r="J11" i="28"/>
  <c r="J10" i="28"/>
  <c r="J9" i="28"/>
  <c r="J8" i="28"/>
  <c r="J7" i="28"/>
  <c r="J6" i="28"/>
  <c r="J5" i="28"/>
  <c r="J4" i="28"/>
  <c r="J3" i="28"/>
  <c r="J2" i="28"/>
  <c r="I15" i="28"/>
  <c r="I14" i="28"/>
  <c r="I13" i="28"/>
  <c r="I12" i="28"/>
  <c r="I11" i="28"/>
  <c r="I10" i="28"/>
  <c r="I9" i="28"/>
  <c r="I8" i="28"/>
  <c r="I7" i="28"/>
  <c r="I6" i="28"/>
  <c r="I5" i="28"/>
  <c r="I4" i="28"/>
  <c r="I3" i="28"/>
  <c r="I2" i="28"/>
  <c r="H16" i="28"/>
  <c r="H15" i="28"/>
  <c r="H14" i="28"/>
  <c r="H13" i="28"/>
  <c r="H12" i="28"/>
  <c r="H11" i="28"/>
  <c r="H10" i="28"/>
  <c r="H9" i="28"/>
  <c r="H8" i="28"/>
  <c r="H7" i="28"/>
  <c r="H6" i="28"/>
  <c r="H5" i="28"/>
  <c r="H4" i="28"/>
  <c r="H3" i="28"/>
  <c r="H2" i="28"/>
  <c r="G17" i="28"/>
  <c r="G16" i="28"/>
  <c r="G15" i="28"/>
  <c r="G14" i="28"/>
  <c r="G13" i="28"/>
  <c r="G12" i="28"/>
  <c r="G11" i="28"/>
  <c r="G10" i="28"/>
  <c r="G9" i="28"/>
  <c r="G8" i="28"/>
  <c r="G7" i="28"/>
  <c r="G6" i="28"/>
  <c r="G5" i="28"/>
  <c r="G4" i="28"/>
  <c r="G3" i="28"/>
  <c r="G2" i="28"/>
  <c r="F18" i="28"/>
  <c r="F17" i="28"/>
  <c r="F16" i="28"/>
  <c r="F15" i="28"/>
  <c r="F14" i="28"/>
  <c r="F13" i="28"/>
  <c r="F12" i="28"/>
  <c r="F11" i="28"/>
  <c r="F10" i="28"/>
  <c r="F9" i="28"/>
  <c r="F8" i="28"/>
  <c r="F7" i="28"/>
  <c r="F6" i="28"/>
  <c r="F5" i="28"/>
  <c r="F4" i="28"/>
  <c r="F3" i="28"/>
  <c r="F2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E3" i="28"/>
  <c r="E2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D3" i="28"/>
  <c r="D2" i="28"/>
  <c r="C21" i="28"/>
  <c r="C20" i="28"/>
  <c r="C19" i="28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4" i="28"/>
  <c r="C3" i="28"/>
  <c r="C2" i="28"/>
  <c r="B22" i="28"/>
  <c r="B21" i="28"/>
  <c r="B20" i="28"/>
  <c r="B19" i="28"/>
  <c r="B18" i="28"/>
  <c r="B17" i="28"/>
  <c r="B16" i="28"/>
  <c r="B15" i="28"/>
  <c r="B14" i="28"/>
  <c r="B13" i="28"/>
  <c r="B12" i="28"/>
  <c r="B11" i="28"/>
  <c r="B10" i="28"/>
  <c r="B9" i="28"/>
  <c r="B8" i="28"/>
  <c r="B7" i="28"/>
  <c r="B6" i="28"/>
  <c r="B5" i="28"/>
  <c r="B4" i="28"/>
  <c r="B3" i="28"/>
  <c r="B2" i="28"/>
  <c r="Q22" i="2" l="1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Q5" i="2"/>
  <c r="Q4" i="2"/>
  <c r="Q3" i="2"/>
  <c r="Q2" i="2"/>
  <c r="N22" i="2" l="1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N3" i="2"/>
  <c r="N2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4" i="18"/>
  <c r="M3" i="18"/>
  <c r="M2" i="18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4" i="22"/>
  <c r="M3" i="22"/>
  <c r="M2" i="22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4" i="23"/>
  <c r="M3" i="23"/>
  <c r="M2" i="23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4" i="24"/>
  <c r="M3" i="24"/>
  <c r="M2" i="2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4" i="14"/>
  <c r="M3" i="14"/>
  <c r="M2" i="14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4" i="13"/>
  <c r="M3" i="13"/>
  <c r="M2" i="13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4" i="8"/>
  <c r="M3" i="8"/>
  <c r="M2" i="8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4" i="27"/>
  <c r="M3" i="27"/>
  <c r="M2" i="2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4" i="17"/>
  <c r="M3" i="17"/>
  <c r="M2" i="17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4" i="9"/>
  <c r="M3" i="9"/>
  <c r="M2" i="9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4" i="10"/>
  <c r="M3" i="10"/>
  <c r="M2" i="10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4" i="16"/>
  <c r="M3" i="16"/>
  <c r="M2" i="16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4" i="15"/>
  <c r="M3" i="15"/>
  <c r="M2" i="1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4" i="5"/>
  <c r="M3" i="5"/>
  <c r="M2" i="5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4" i="7"/>
  <c r="M3" i="7"/>
  <c r="M2" i="7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4" i="4"/>
  <c r="M3" i="4"/>
  <c r="M2" i="4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4" i="26"/>
  <c r="M3" i="26"/>
  <c r="M2" i="26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4" i="25"/>
  <c r="M3" i="25"/>
  <c r="M2" i="25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4" i="12"/>
  <c r="M3" i="12"/>
  <c r="M2" i="12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4" i="11"/>
  <c r="M3" i="11"/>
  <c r="M2" i="1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G8" i="18" l="1"/>
  <c r="G12" i="22"/>
  <c r="G20" i="23"/>
  <c r="G4" i="23"/>
  <c r="G12" i="24"/>
  <c r="G20" i="14"/>
  <c r="G4" i="14"/>
  <c r="G8" i="13"/>
  <c r="G12" i="8"/>
  <c r="G16" i="27"/>
  <c r="F21" i="18"/>
  <c r="G21" i="18" s="1"/>
  <c r="F20" i="18"/>
  <c r="G20" i="18" s="1"/>
  <c r="F19" i="18"/>
  <c r="G19" i="18" s="1"/>
  <c r="F18" i="18"/>
  <c r="G18" i="18" s="1"/>
  <c r="F17" i="18"/>
  <c r="G17" i="18" s="1"/>
  <c r="F16" i="18"/>
  <c r="G16" i="18" s="1"/>
  <c r="F15" i="18"/>
  <c r="G15" i="18" s="1"/>
  <c r="F14" i="18"/>
  <c r="G14" i="18" s="1"/>
  <c r="F13" i="18"/>
  <c r="G13" i="18" s="1"/>
  <c r="F12" i="18"/>
  <c r="G12" i="18" s="1"/>
  <c r="F11" i="18"/>
  <c r="G11" i="18" s="1"/>
  <c r="F10" i="18"/>
  <c r="G10" i="18" s="1"/>
  <c r="F9" i="18"/>
  <c r="G9" i="18" s="1"/>
  <c r="F8" i="18"/>
  <c r="F7" i="18"/>
  <c r="G7" i="18" s="1"/>
  <c r="F6" i="18"/>
  <c r="G6" i="18" s="1"/>
  <c r="F5" i="18"/>
  <c r="G5" i="18" s="1"/>
  <c r="F4" i="18"/>
  <c r="G4" i="18" s="1"/>
  <c r="F3" i="18"/>
  <c r="G3" i="18" s="1"/>
  <c r="F2" i="18"/>
  <c r="G2" i="18" s="1"/>
  <c r="F21" i="22"/>
  <c r="G21" i="22" s="1"/>
  <c r="F20" i="22"/>
  <c r="G20" i="22" s="1"/>
  <c r="F19" i="22"/>
  <c r="G19" i="22" s="1"/>
  <c r="F18" i="22"/>
  <c r="G18" i="22" s="1"/>
  <c r="F17" i="22"/>
  <c r="G17" i="22" s="1"/>
  <c r="F16" i="22"/>
  <c r="G16" i="22" s="1"/>
  <c r="F15" i="22"/>
  <c r="G15" i="22" s="1"/>
  <c r="F14" i="22"/>
  <c r="G14" i="22" s="1"/>
  <c r="F13" i="22"/>
  <c r="G13" i="22" s="1"/>
  <c r="F12" i="22"/>
  <c r="F11" i="22"/>
  <c r="G11" i="22" s="1"/>
  <c r="F10" i="22"/>
  <c r="G10" i="22" s="1"/>
  <c r="F9" i="22"/>
  <c r="G9" i="22" s="1"/>
  <c r="F8" i="22"/>
  <c r="G8" i="22" s="1"/>
  <c r="F7" i="22"/>
  <c r="G7" i="22" s="1"/>
  <c r="F6" i="22"/>
  <c r="G6" i="22" s="1"/>
  <c r="F5" i="22"/>
  <c r="G5" i="22" s="1"/>
  <c r="F4" i="22"/>
  <c r="G4" i="22" s="1"/>
  <c r="H21" i="2" s="1"/>
  <c r="F3" i="22"/>
  <c r="G3" i="22" s="1"/>
  <c r="F2" i="22"/>
  <c r="G2" i="22" s="1"/>
  <c r="F21" i="23"/>
  <c r="G21" i="23" s="1"/>
  <c r="F20" i="23"/>
  <c r="F19" i="23"/>
  <c r="G19" i="23" s="1"/>
  <c r="F18" i="23"/>
  <c r="G18" i="23" s="1"/>
  <c r="F17" i="23"/>
  <c r="G17" i="23" s="1"/>
  <c r="F16" i="23"/>
  <c r="G16" i="23" s="1"/>
  <c r="F15" i="23"/>
  <c r="G15" i="23" s="1"/>
  <c r="F14" i="23"/>
  <c r="G14" i="23" s="1"/>
  <c r="F13" i="23"/>
  <c r="G13" i="23" s="1"/>
  <c r="F12" i="23"/>
  <c r="G12" i="23" s="1"/>
  <c r="F11" i="23"/>
  <c r="G11" i="23" s="1"/>
  <c r="F10" i="23"/>
  <c r="G10" i="23" s="1"/>
  <c r="F9" i="23"/>
  <c r="G9" i="23" s="1"/>
  <c r="F8" i="23"/>
  <c r="G8" i="23" s="1"/>
  <c r="F7" i="23"/>
  <c r="G7" i="23" s="1"/>
  <c r="F6" i="23"/>
  <c r="G6" i="23" s="1"/>
  <c r="F5" i="23"/>
  <c r="G5" i="23" s="1"/>
  <c r="F4" i="23"/>
  <c r="F3" i="23"/>
  <c r="G3" i="23" s="1"/>
  <c r="F2" i="23"/>
  <c r="G2" i="23" s="1"/>
  <c r="F21" i="24"/>
  <c r="G21" i="24" s="1"/>
  <c r="F20" i="24"/>
  <c r="G20" i="24" s="1"/>
  <c r="F19" i="24"/>
  <c r="G19" i="24" s="1"/>
  <c r="F18" i="24"/>
  <c r="G18" i="24" s="1"/>
  <c r="F17" i="24"/>
  <c r="G17" i="24" s="1"/>
  <c r="F16" i="24"/>
  <c r="G16" i="24" s="1"/>
  <c r="F15" i="24"/>
  <c r="G15" i="24" s="1"/>
  <c r="F14" i="24"/>
  <c r="G14" i="24" s="1"/>
  <c r="F13" i="24"/>
  <c r="G13" i="24" s="1"/>
  <c r="F12" i="24"/>
  <c r="F11" i="24"/>
  <c r="G11" i="24" s="1"/>
  <c r="F10" i="24"/>
  <c r="G10" i="24" s="1"/>
  <c r="F9" i="24"/>
  <c r="G9" i="24" s="1"/>
  <c r="F8" i="24"/>
  <c r="G8" i="24" s="1"/>
  <c r="F7" i="24"/>
  <c r="G7" i="24" s="1"/>
  <c r="F6" i="24"/>
  <c r="G6" i="24" s="1"/>
  <c r="F5" i="24"/>
  <c r="G5" i="24" s="1"/>
  <c r="F4" i="24"/>
  <c r="G4" i="24" s="1"/>
  <c r="F3" i="24"/>
  <c r="G3" i="24" s="1"/>
  <c r="F2" i="24"/>
  <c r="G2" i="24" s="1"/>
  <c r="F21" i="14"/>
  <c r="G21" i="14" s="1"/>
  <c r="F20" i="14"/>
  <c r="F19" i="14"/>
  <c r="G19" i="14" s="1"/>
  <c r="F18" i="14"/>
  <c r="G18" i="14" s="1"/>
  <c r="F17" i="14"/>
  <c r="G17" i="14" s="1"/>
  <c r="F16" i="14"/>
  <c r="G16" i="14" s="1"/>
  <c r="F15" i="14"/>
  <c r="G15" i="14" s="1"/>
  <c r="F14" i="14"/>
  <c r="G14" i="14" s="1"/>
  <c r="F13" i="14"/>
  <c r="G13" i="14" s="1"/>
  <c r="F12" i="14"/>
  <c r="G12" i="14" s="1"/>
  <c r="F11" i="14"/>
  <c r="G11" i="14" s="1"/>
  <c r="F10" i="14"/>
  <c r="G10" i="14" s="1"/>
  <c r="F9" i="14"/>
  <c r="G9" i="14" s="1"/>
  <c r="F8" i="14"/>
  <c r="G8" i="14" s="1"/>
  <c r="F7" i="14"/>
  <c r="G7" i="14" s="1"/>
  <c r="F6" i="14"/>
  <c r="G6" i="14" s="1"/>
  <c r="F5" i="14"/>
  <c r="G5" i="14" s="1"/>
  <c r="F4" i="14"/>
  <c r="F3" i="14"/>
  <c r="G3" i="14" s="1"/>
  <c r="F2" i="14"/>
  <c r="G2" i="14" s="1"/>
  <c r="F21" i="13"/>
  <c r="G21" i="13" s="1"/>
  <c r="F20" i="13"/>
  <c r="G20" i="13" s="1"/>
  <c r="F19" i="13"/>
  <c r="G19" i="13" s="1"/>
  <c r="F18" i="13"/>
  <c r="G18" i="13" s="1"/>
  <c r="F17" i="13"/>
  <c r="G17" i="13" s="1"/>
  <c r="F16" i="13"/>
  <c r="G16" i="13" s="1"/>
  <c r="F15" i="13"/>
  <c r="G15" i="13" s="1"/>
  <c r="F14" i="13"/>
  <c r="G14" i="13" s="1"/>
  <c r="F13" i="13"/>
  <c r="G13" i="13" s="1"/>
  <c r="F12" i="13"/>
  <c r="G12" i="13" s="1"/>
  <c r="F11" i="13"/>
  <c r="G11" i="13" s="1"/>
  <c r="F10" i="13"/>
  <c r="G10" i="13" s="1"/>
  <c r="F9" i="13"/>
  <c r="G9" i="13" s="1"/>
  <c r="F8" i="13"/>
  <c r="F7" i="13"/>
  <c r="G7" i="13" s="1"/>
  <c r="F6" i="13"/>
  <c r="G6" i="13" s="1"/>
  <c r="F5" i="13"/>
  <c r="G5" i="13" s="1"/>
  <c r="F4" i="13"/>
  <c r="G4" i="13" s="1"/>
  <c r="F3" i="13"/>
  <c r="G3" i="13" s="1"/>
  <c r="F2" i="13"/>
  <c r="G2" i="13" s="1"/>
  <c r="F21" i="8"/>
  <c r="G21" i="8" s="1"/>
  <c r="F20" i="8"/>
  <c r="G20" i="8" s="1"/>
  <c r="F19" i="8"/>
  <c r="G19" i="8" s="1"/>
  <c r="F18" i="8"/>
  <c r="G18" i="8" s="1"/>
  <c r="F17" i="8"/>
  <c r="G17" i="8" s="1"/>
  <c r="F16" i="8"/>
  <c r="G16" i="8" s="1"/>
  <c r="F15" i="8"/>
  <c r="G15" i="8" s="1"/>
  <c r="F14" i="8"/>
  <c r="G14" i="8" s="1"/>
  <c r="F13" i="8"/>
  <c r="G13" i="8" s="1"/>
  <c r="F12" i="8"/>
  <c r="F11" i="8"/>
  <c r="G11" i="8" s="1"/>
  <c r="F10" i="8"/>
  <c r="G10" i="8" s="1"/>
  <c r="F9" i="8"/>
  <c r="G9" i="8" s="1"/>
  <c r="F8" i="8"/>
  <c r="G8" i="8" s="1"/>
  <c r="F7" i="8"/>
  <c r="G7" i="8" s="1"/>
  <c r="F6" i="8"/>
  <c r="G6" i="8" s="1"/>
  <c r="F5" i="8"/>
  <c r="G5" i="8" s="1"/>
  <c r="F4" i="8"/>
  <c r="G4" i="8" s="1"/>
  <c r="F3" i="8"/>
  <c r="G3" i="8" s="1"/>
  <c r="F2" i="8"/>
  <c r="G2" i="8" s="1"/>
  <c r="F21" i="27"/>
  <c r="G21" i="27" s="1"/>
  <c r="F20" i="27"/>
  <c r="G20" i="27" s="1"/>
  <c r="F19" i="27"/>
  <c r="G19" i="27" s="1"/>
  <c r="F18" i="27"/>
  <c r="G18" i="27" s="1"/>
  <c r="F17" i="27"/>
  <c r="G17" i="27" s="1"/>
  <c r="F16" i="27"/>
  <c r="F15" i="27"/>
  <c r="G15" i="27" s="1"/>
  <c r="F14" i="27"/>
  <c r="G14" i="27" s="1"/>
  <c r="F13" i="27"/>
  <c r="G13" i="27" s="1"/>
  <c r="F12" i="27"/>
  <c r="G12" i="27" s="1"/>
  <c r="F11" i="27"/>
  <c r="G11" i="27" s="1"/>
  <c r="F10" i="27"/>
  <c r="G10" i="27" s="1"/>
  <c r="F9" i="27"/>
  <c r="G9" i="27" s="1"/>
  <c r="F8" i="27"/>
  <c r="G8" i="27" s="1"/>
  <c r="F7" i="27"/>
  <c r="G7" i="27" s="1"/>
  <c r="F6" i="27"/>
  <c r="G6" i="27" s="1"/>
  <c r="F5" i="27"/>
  <c r="G5" i="27" s="1"/>
  <c r="F4" i="27"/>
  <c r="G4" i="27" s="1"/>
  <c r="F3" i="27"/>
  <c r="G3" i="27" s="1"/>
  <c r="F2" i="27"/>
  <c r="G2" i="27" s="1"/>
  <c r="F21" i="17"/>
  <c r="G21" i="17" s="1"/>
  <c r="F20" i="17"/>
  <c r="G20" i="17" s="1"/>
  <c r="F19" i="17"/>
  <c r="G19" i="17" s="1"/>
  <c r="F18" i="17"/>
  <c r="G18" i="17" s="1"/>
  <c r="F17" i="17"/>
  <c r="G17" i="17" s="1"/>
  <c r="F16" i="17"/>
  <c r="G16" i="17" s="1"/>
  <c r="F15" i="17"/>
  <c r="G15" i="17" s="1"/>
  <c r="F14" i="17"/>
  <c r="G14" i="17" s="1"/>
  <c r="F13" i="17"/>
  <c r="G13" i="17" s="1"/>
  <c r="F12" i="17"/>
  <c r="G12" i="17" s="1"/>
  <c r="F11" i="17"/>
  <c r="G11" i="17" s="1"/>
  <c r="F10" i="17"/>
  <c r="G10" i="17" s="1"/>
  <c r="F9" i="17"/>
  <c r="G9" i="17" s="1"/>
  <c r="F8" i="17"/>
  <c r="G8" i="17" s="1"/>
  <c r="F7" i="17"/>
  <c r="G7" i="17" s="1"/>
  <c r="F6" i="17"/>
  <c r="G6" i="17" s="1"/>
  <c r="F5" i="17"/>
  <c r="G5" i="17" s="1"/>
  <c r="F4" i="17"/>
  <c r="G4" i="17" s="1"/>
  <c r="F3" i="17"/>
  <c r="G3" i="17" s="1"/>
  <c r="F2" i="17"/>
  <c r="G2" i="17" s="1"/>
  <c r="F21" i="9"/>
  <c r="G21" i="9" s="1"/>
  <c r="F20" i="9"/>
  <c r="G20" i="9" s="1"/>
  <c r="F19" i="9"/>
  <c r="G19" i="9" s="1"/>
  <c r="F18" i="9"/>
  <c r="G18" i="9" s="1"/>
  <c r="F17" i="9"/>
  <c r="G17" i="9" s="1"/>
  <c r="F16" i="9"/>
  <c r="G16" i="9" s="1"/>
  <c r="F15" i="9"/>
  <c r="G15" i="9" s="1"/>
  <c r="F14" i="9"/>
  <c r="G14" i="9" s="1"/>
  <c r="F13" i="9"/>
  <c r="G13" i="9" s="1"/>
  <c r="F12" i="9"/>
  <c r="G12" i="9" s="1"/>
  <c r="F11" i="9"/>
  <c r="G11" i="9" s="1"/>
  <c r="F10" i="9"/>
  <c r="G10" i="9" s="1"/>
  <c r="F9" i="9"/>
  <c r="G9" i="9" s="1"/>
  <c r="F8" i="9"/>
  <c r="G8" i="9" s="1"/>
  <c r="F7" i="9"/>
  <c r="G7" i="9" s="1"/>
  <c r="F6" i="9"/>
  <c r="G6" i="9" s="1"/>
  <c r="F5" i="9"/>
  <c r="G5" i="9" s="1"/>
  <c r="F4" i="9"/>
  <c r="G4" i="9" s="1"/>
  <c r="F3" i="9"/>
  <c r="G3" i="9" s="1"/>
  <c r="F2" i="9"/>
  <c r="G2" i="9" s="1"/>
  <c r="F21" i="10"/>
  <c r="G21" i="10" s="1"/>
  <c r="F20" i="10"/>
  <c r="G20" i="10" s="1"/>
  <c r="F19" i="10"/>
  <c r="G19" i="10" s="1"/>
  <c r="F18" i="10"/>
  <c r="G18" i="10" s="1"/>
  <c r="F17" i="10"/>
  <c r="G17" i="10" s="1"/>
  <c r="F16" i="10"/>
  <c r="G16" i="10" s="1"/>
  <c r="F15" i="10"/>
  <c r="G15" i="10" s="1"/>
  <c r="F14" i="10"/>
  <c r="G14" i="10" s="1"/>
  <c r="F13" i="10"/>
  <c r="G13" i="10" s="1"/>
  <c r="F12" i="10"/>
  <c r="G12" i="10" s="1"/>
  <c r="F11" i="10"/>
  <c r="G11" i="10" s="1"/>
  <c r="F10" i="10"/>
  <c r="G10" i="10" s="1"/>
  <c r="F9" i="10"/>
  <c r="G9" i="10" s="1"/>
  <c r="F8" i="10"/>
  <c r="G8" i="10" s="1"/>
  <c r="F7" i="10"/>
  <c r="G7" i="10" s="1"/>
  <c r="F6" i="10"/>
  <c r="G6" i="10" s="1"/>
  <c r="F5" i="10"/>
  <c r="G5" i="10" s="1"/>
  <c r="F4" i="10"/>
  <c r="G4" i="10" s="1"/>
  <c r="F3" i="10"/>
  <c r="G3" i="10" s="1"/>
  <c r="F2" i="10"/>
  <c r="G2" i="10" s="1"/>
  <c r="F21" i="16"/>
  <c r="G21" i="16" s="1"/>
  <c r="F20" i="16"/>
  <c r="G20" i="16" s="1"/>
  <c r="F19" i="16"/>
  <c r="G19" i="16" s="1"/>
  <c r="F18" i="16"/>
  <c r="G18" i="16" s="1"/>
  <c r="F17" i="16"/>
  <c r="G17" i="16" s="1"/>
  <c r="F16" i="16"/>
  <c r="G16" i="16" s="1"/>
  <c r="F15" i="16"/>
  <c r="G15" i="16" s="1"/>
  <c r="F14" i="16"/>
  <c r="G14" i="16" s="1"/>
  <c r="F13" i="16"/>
  <c r="G13" i="16" s="1"/>
  <c r="F12" i="16"/>
  <c r="G12" i="16" s="1"/>
  <c r="F11" i="16"/>
  <c r="G11" i="16" s="1"/>
  <c r="F10" i="16"/>
  <c r="G10" i="16" s="1"/>
  <c r="F9" i="16"/>
  <c r="G9" i="16" s="1"/>
  <c r="F8" i="16"/>
  <c r="G8" i="16" s="1"/>
  <c r="F7" i="16"/>
  <c r="G7" i="16" s="1"/>
  <c r="F6" i="16"/>
  <c r="G6" i="16" s="1"/>
  <c r="F5" i="16"/>
  <c r="G5" i="16" s="1"/>
  <c r="F4" i="16"/>
  <c r="G4" i="16" s="1"/>
  <c r="F3" i="16"/>
  <c r="G3" i="16" s="1"/>
  <c r="F2" i="16"/>
  <c r="G2" i="16" s="1"/>
  <c r="F21" i="15"/>
  <c r="G21" i="15" s="1"/>
  <c r="F20" i="15"/>
  <c r="G20" i="15" s="1"/>
  <c r="F19" i="15"/>
  <c r="G19" i="15" s="1"/>
  <c r="F18" i="15"/>
  <c r="G18" i="15" s="1"/>
  <c r="F17" i="15"/>
  <c r="G17" i="15" s="1"/>
  <c r="F16" i="15"/>
  <c r="G16" i="15" s="1"/>
  <c r="F15" i="15"/>
  <c r="G15" i="15" s="1"/>
  <c r="F14" i="15"/>
  <c r="G14" i="15" s="1"/>
  <c r="F13" i="15"/>
  <c r="G13" i="15" s="1"/>
  <c r="F12" i="15"/>
  <c r="G12" i="15" s="1"/>
  <c r="F11" i="15"/>
  <c r="G11" i="15" s="1"/>
  <c r="F10" i="15"/>
  <c r="G10" i="15" s="1"/>
  <c r="F9" i="15"/>
  <c r="G9" i="15" s="1"/>
  <c r="F8" i="15"/>
  <c r="G8" i="15" s="1"/>
  <c r="F7" i="15"/>
  <c r="G7" i="15" s="1"/>
  <c r="F6" i="15"/>
  <c r="G6" i="15" s="1"/>
  <c r="F5" i="15"/>
  <c r="G5" i="15" s="1"/>
  <c r="F4" i="15"/>
  <c r="G4" i="15" s="1"/>
  <c r="F3" i="15"/>
  <c r="G3" i="15" s="1"/>
  <c r="F2" i="15"/>
  <c r="G2" i="15" s="1"/>
  <c r="F21" i="5"/>
  <c r="G21" i="5" s="1"/>
  <c r="F20" i="5"/>
  <c r="G20" i="5" s="1"/>
  <c r="F19" i="5"/>
  <c r="G19" i="5" s="1"/>
  <c r="F18" i="5"/>
  <c r="G18" i="5" s="1"/>
  <c r="F17" i="5"/>
  <c r="G17" i="5" s="1"/>
  <c r="F16" i="5"/>
  <c r="G16" i="5" s="1"/>
  <c r="F15" i="5"/>
  <c r="G15" i="5" s="1"/>
  <c r="F14" i="5"/>
  <c r="G14" i="5" s="1"/>
  <c r="F13" i="5"/>
  <c r="G13" i="5" s="1"/>
  <c r="F12" i="5"/>
  <c r="G12" i="5" s="1"/>
  <c r="F11" i="5"/>
  <c r="G11" i="5" s="1"/>
  <c r="F10" i="5"/>
  <c r="G10" i="5" s="1"/>
  <c r="F9" i="5"/>
  <c r="G9" i="5" s="1"/>
  <c r="F8" i="5"/>
  <c r="G8" i="5" s="1"/>
  <c r="F7" i="5"/>
  <c r="G7" i="5" s="1"/>
  <c r="F6" i="5"/>
  <c r="G6" i="5" s="1"/>
  <c r="F5" i="5"/>
  <c r="G5" i="5" s="1"/>
  <c r="F4" i="5"/>
  <c r="G4" i="5" s="1"/>
  <c r="F3" i="5"/>
  <c r="G3" i="5" s="1"/>
  <c r="F2" i="5"/>
  <c r="G2" i="5" s="1"/>
  <c r="F21" i="7"/>
  <c r="G21" i="7" s="1"/>
  <c r="F20" i="7"/>
  <c r="G20" i="7" s="1"/>
  <c r="F19" i="7"/>
  <c r="G19" i="7" s="1"/>
  <c r="F18" i="7"/>
  <c r="G18" i="7" s="1"/>
  <c r="F17" i="7"/>
  <c r="G17" i="7" s="1"/>
  <c r="F16" i="7"/>
  <c r="G16" i="7" s="1"/>
  <c r="F15" i="7"/>
  <c r="G15" i="7" s="1"/>
  <c r="F14" i="7"/>
  <c r="G14" i="7" s="1"/>
  <c r="F13" i="7"/>
  <c r="G13" i="7" s="1"/>
  <c r="F12" i="7"/>
  <c r="G12" i="7" s="1"/>
  <c r="F11" i="7"/>
  <c r="G11" i="7" s="1"/>
  <c r="F10" i="7"/>
  <c r="G10" i="7" s="1"/>
  <c r="F9" i="7"/>
  <c r="G9" i="7" s="1"/>
  <c r="F8" i="7"/>
  <c r="G8" i="7" s="1"/>
  <c r="F7" i="7"/>
  <c r="G7" i="7" s="1"/>
  <c r="F6" i="7"/>
  <c r="G6" i="7" s="1"/>
  <c r="F5" i="7"/>
  <c r="G5" i="7" s="1"/>
  <c r="F4" i="7"/>
  <c r="G4" i="7" s="1"/>
  <c r="F3" i="7"/>
  <c r="G3" i="7" s="1"/>
  <c r="F2" i="7"/>
  <c r="G2" i="7" s="1"/>
  <c r="F21" i="4"/>
  <c r="G21" i="4" s="1"/>
  <c r="F20" i="4"/>
  <c r="G20" i="4" s="1"/>
  <c r="F19" i="4"/>
  <c r="G19" i="4" s="1"/>
  <c r="F18" i="4"/>
  <c r="G18" i="4" s="1"/>
  <c r="F17" i="4"/>
  <c r="G17" i="4" s="1"/>
  <c r="F16" i="4"/>
  <c r="G16" i="4" s="1"/>
  <c r="F15" i="4"/>
  <c r="G15" i="4" s="1"/>
  <c r="F14" i="4"/>
  <c r="G14" i="4" s="1"/>
  <c r="F13" i="4"/>
  <c r="G13" i="4" s="1"/>
  <c r="F12" i="4"/>
  <c r="G12" i="4" s="1"/>
  <c r="F11" i="4"/>
  <c r="G11" i="4" s="1"/>
  <c r="F10" i="4"/>
  <c r="G10" i="4" s="1"/>
  <c r="F9" i="4"/>
  <c r="G9" i="4" s="1"/>
  <c r="F8" i="4"/>
  <c r="G8" i="4" s="1"/>
  <c r="F7" i="4"/>
  <c r="G7" i="4" s="1"/>
  <c r="F6" i="4"/>
  <c r="G6" i="4" s="1"/>
  <c r="F5" i="4"/>
  <c r="G5" i="4" s="1"/>
  <c r="F4" i="4"/>
  <c r="G4" i="4" s="1"/>
  <c r="F3" i="4"/>
  <c r="G3" i="4" s="1"/>
  <c r="F2" i="4"/>
  <c r="G2" i="4" s="1"/>
  <c r="F21" i="26"/>
  <c r="G21" i="26" s="1"/>
  <c r="F20" i="26"/>
  <c r="G20" i="26" s="1"/>
  <c r="F19" i="26"/>
  <c r="G19" i="26" s="1"/>
  <c r="F18" i="26"/>
  <c r="G18" i="26" s="1"/>
  <c r="F17" i="26"/>
  <c r="G17" i="26" s="1"/>
  <c r="F16" i="26"/>
  <c r="G16" i="26" s="1"/>
  <c r="F15" i="26"/>
  <c r="G15" i="26" s="1"/>
  <c r="F14" i="26"/>
  <c r="G14" i="26" s="1"/>
  <c r="F13" i="26"/>
  <c r="G13" i="26" s="1"/>
  <c r="F12" i="26"/>
  <c r="G12" i="26" s="1"/>
  <c r="F11" i="26"/>
  <c r="G11" i="26" s="1"/>
  <c r="F10" i="26"/>
  <c r="G10" i="26" s="1"/>
  <c r="F9" i="26"/>
  <c r="G9" i="26" s="1"/>
  <c r="F8" i="26"/>
  <c r="G8" i="26" s="1"/>
  <c r="F7" i="26"/>
  <c r="G7" i="26" s="1"/>
  <c r="F6" i="26"/>
  <c r="G6" i="26" s="1"/>
  <c r="F5" i="26"/>
  <c r="G5" i="26" s="1"/>
  <c r="F4" i="26"/>
  <c r="G4" i="26" s="1"/>
  <c r="F3" i="26"/>
  <c r="G3" i="26" s="1"/>
  <c r="F2" i="26"/>
  <c r="G2" i="26" s="1"/>
  <c r="F21" i="25"/>
  <c r="G21" i="25" s="1"/>
  <c r="F20" i="25"/>
  <c r="G20" i="25" s="1"/>
  <c r="F19" i="25"/>
  <c r="G19" i="25" s="1"/>
  <c r="F18" i="25"/>
  <c r="G18" i="25" s="1"/>
  <c r="F17" i="25"/>
  <c r="G17" i="25" s="1"/>
  <c r="F16" i="25"/>
  <c r="G16" i="25" s="1"/>
  <c r="F15" i="25"/>
  <c r="G15" i="25" s="1"/>
  <c r="F14" i="25"/>
  <c r="G14" i="25" s="1"/>
  <c r="F13" i="25"/>
  <c r="G13" i="25" s="1"/>
  <c r="F12" i="25"/>
  <c r="G12" i="25" s="1"/>
  <c r="F11" i="25"/>
  <c r="G11" i="25" s="1"/>
  <c r="F10" i="25"/>
  <c r="G10" i="25" s="1"/>
  <c r="F9" i="25"/>
  <c r="G9" i="25" s="1"/>
  <c r="F8" i="25"/>
  <c r="G8" i="25" s="1"/>
  <c r="F7" i="25"/>
  <c r="G7" i="25" s="1"/>
  <c r="F6" i="25"/>
  <c r="G6" i="25" s="1"/>
  <c r="F5" i="25"/>
  <c r="G5" i="25" s="1"/>
  <c r="F4" i="25"/>
  <c r="G4" i="25" s="1"/>
  <c r="F3" i="25"/>
  <c r="G3" i="25" s="1"/>
  <c r="F2" i="25"/>
  <c r="G2" i="25" s="1"/>
  <c r="F21" i="12"/>
  <c r="G21" i="12" s="1"/>
  <c r="F20" i="12"/>
  <c r="G20" i="12" s="1"/>
  <c r="F19" i="12"/>
  <c r="G19" i="12" s="1"/>
  <c r="F18" i="12"/>
  <c r="G18" i="12" s="1"/>
  <c r="F17" i="12"/>
  <c r="G17" i="12" s="1"/>
  <c r="F16" i="12"/>
  <c r="G16" i="12" s="1"/>
  <c r="F15" i="12"/>
  <c r="G15" i="12" s="1"/>
  <c r="F14" i="12"/>
  <c r="G14" i="12" s="1"/>
  <c r="F13" i="12"/>
  <c r="G13" i="12" s="1"/>
  <c r="F12" i="12"/>
  <c r="G12" i="12" s="1"/>
  <c r="F11" i="12"/>
  <c r="G11" i="12" s="1"/>
  <c r="F10" i="12"/>
  <c r="G10" i="12" s="1"/>
  <c r="F9" i="12"/>
  <c r="G9" i="12" s="1"/>
  <c r="F8" i="12"/>
  <c r="G8" i="12" s="1"/>
  <c r="F7" i="12"/>
  <c r="G7" i="12" s="1"/>
  <c r="F6" i="12"/>
  <c r="G6" i="12" s="1"/>
  <c r="F5" i="12"/>
  <c r="G5" i="12" s="1"/>
  <c r="F4" i="12"/>
  <c r="G4" i="12" s="1"/>
  <c r="F3" i="12"/>
  <c r="G3" i="12" s="1"/>
  <c r="F2" i="12"/>
  <c r="G2" i="12" s="1"/>
  <c r="F21" i="11"/>
  <c r="G21" i="11" s="1"/>
  <c r="F20" i="11"/>
  <c r="G20" i="11" s="1"/>
  <c r="F19" i="11"/>
  <c r="G19" i="11" s="1"/>
  <c r="F18" i="11"/>
  <c r="G18" i="11" s="1"/>
  <c r="F17" i="11"/>
  <c r="G17" i="11" s="1"/>
  <c r="F16" i="11"/>
  <c r="G16" i="11" s="1"/>
  <c r="F15" i="11"/>
  <c r="G15" i="11" s="1"/>
  <c r="F14" i="11"/>
  <c r="G14" i="11" s="1"/>
  <c r="F13" i="11"/>
  <c r="G13" i="11" s="1"/>
  <c r="F12" i="11"/>
  <c r="G12" i="11" s="1"/>
  <c r="F11" i="11"/>
  <c r="G11" i="11" s="1"/>
  <c r="F10" i="11"/>
  <c r="G10" i="11" s="1"/>
  <c r="F9" i="11"/>
  <c r="G9" i="11" s="1"/>
  <c r="F8" i="11"/>
  <c r="G8" i="11" s="1"/>
  <c r="F7" i="11"/>
  <c r="G7" i="11" s="1"/>
  <c r="F6" i="11"/>
  <c r="G6" i="11" s="1"/>
  <c r="F5" i="11"/>
  <c r="G5" i="11" s="1"/>
  <c r="F4" i="11"/>
  <c r="G4" i="11" s="1"/>
  <c r="F3" i="11"/>
  <c r="G3" i="11" s="1"/>
  <c r="F2" i="11"/>
  <c r="G2" i="11" s="1"/>
  <c r="F21" i="1"/>
  <c r="G21" i="1" s="1"/>
  <c r="F20" i="1"/>
  <c r="G20" i="1" s="1"/>
  <c r="F19" i="1"/>
  <c r="G19" i="1" s="1"/>
  <c r="F18" i="1"/>
  <c r="G18" i="1" s="1"/>
  <c r="F17" i="1"/>
  <c r="G17" i="1" s="1"/>
  <c r="F16" i="1"/>
  <c r="G16" i="1" s="1"/>
  <c r="F15" i="1"/>
  <c r="G15" i="1" s="1"/>
  <c r="F14" i="1"/>
  <c r="G14" i="1" s="1"/>
  <c r="F13" i="1"/>
  <c r="G13" i="1" s="1"/>
  <c r="F12" i="1"/>
  <c r="G12" i="1" s="1"/>
  <c r="F11" i="1"/>
  <c r="G11" i="1" s="1"/>
  <c r="F10" i="1"/>
  <c r="G10" i="1" s="1"/>
  <c r="F9" i="1"/>
  <c r="G9" i="1" s="1"/>
  <c r="F8" i="1"/>
  <c r="G8" i="1" s="1"/>
  <c r="F7" i="1"/>
  <c r="G7" i="1" s="1"/>
  <c r="F6" i="1"/>
  <c r="G6" i="1" s="1"/>
  <c r="F5" i="1"/>
  <c r="G5" i="1" s="1"/>
  <c r="F4" i="1"/>
  <c r="G4" i="1" s="1"/>
  <c r="F3" i="1"/>
  <c r="G3" i="1" s="1"/>
  <c r="F2" i="1"/>
  <c r="G2" i="1" s="1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G18" i="2" l="1"/>
  <c r="K2" i="2"/>
  <c r="I2" i="2"/>
  <c r="G2" i="2"/>
  <c r="J2" i="2" s="1"/>
  <c r="H2" i="2"/>
  <c r="H3" i="2"/>
  <c r="K3" i="2"/>
  <c r="I3" i="2"/>
  <c r="G3" i="2"/>
  <c r="H4" i="2"/>
  <c r="K4" i="2"/>
  <c r="I4" i="2"/>
  <c r="G4" i="2"/>
  <c r="K5" i="2"/>
  <c r="I5" i="2"/>
  <c r="G5" i="2"/>
  <c r="J5" i="2" s="1"/>
  <c r="H5" i="2"/>
  <c r="K6" i="2"/>
  <c r="I6" i="2"/>
  <c r="G6" i="2"/>
  <c r="J6" i="2" s="1"/>
  <c r="H6" i="2"/>
  <c r="H7" i="2"/>
  <c r="K7" i="2"/>
  <c r="I7" i="2"/>
  <c r="G7" i="2"/>
  <c r="H8" i="2"/>
  <c r="K8" i="2"/>
  <c r="I8" i="2"/>
  <c r="G8" i="2"/>
  <c r="K9" i="2"/>
  <c r="I9" i="2"/>
  <c r="G9" i="2"/>
  <c r="J9" i="2" s="1"/>
  <c r="H9" i="2"/>
  <c r="K10" i="2"/>
  <c r="I10" i="2"/>
  <c r="G10" i="2"/>
  <c r="J10" i="2" s="1"/>
  <c r="H10" i="2"/>
  <c r="H11" i="2"/>
  <c r="I11" i="2"/>
  <c r="K11" i="2"/>
  <c r="G11" i="2"/>
  <c r="H12" i="2"/>
  <c r="K12" i="2"/>
  <c r="I12" i="2"/>
  <c r="G12" i="2"/>
  <c r="K13" i="2"/>
  <c r="I13" i="2"/>
  <c r="G13" i="2"/>
  <c r="J13" i="2" s="1"/>
  <c r="H13" i="2"/>
  <c r="K14" i="2"/>
  <c r="I14" i="2"/>
  <c r="G14" i="2"/>
  <c r="J14" i="2" s="1"/>
  <c r="H14" i="2"/>
  <c r="H15" i="2"/>
  <c r="K15" i="2"/>
  <c r="I15" i="2"/>
  <c r="G15" i="2"/>
  <c r="K16" i="2"/>
  <c r="I16" i="2"/>
  <c r="G16" i="2"/>
  <c r="J16" i="2" s="1"/>
  <c r="K17" i="2"/>
  <c r="I17" i="2"/>
  <c r="G17" i="2"/>
  <c r="H17" i="2"/>
  <c r="H18" i="2"/>
  <c r="K19" i="2"/>
  <c r="I19" i="2"/>
  <c r="G19" i="2"/>
  <c r="J19" i="2" s="1"/>
  <c r="H20" i="2"/>
  <c r="K21" i="2"/>
  <c r="I21" i="2"/>
  <c r="G21" i="2"/>
  <c r="J21" i="2" s="1"/>
  <c r="K22" i="2"/>
  <c r="I22" i="2"/>
  <c r="G22" i="2"/>
  <c r="H22" i="2"/>
  <c r="G20" i="2"/>
  <c r="I18" i="2"/>
  <c r="H16" i="2"/>
  <c r="I20" i="2"/>
  <c r="K18" i="2"/>
  <c r="H19" i="2"/>
  <c r="K20" i="2"/>
  <c r="I2" i="8"/>
  <c r="I2" i="17"/>
  <c r="I2" i="15"/>
  <c r="J2" i="14"/>
  <c r="I2" i="4"/>
  <c r="I2" i="12"/>
  <c r="I2" i="14"/>
  <c r="J2" i="17"/>
  <c r="J2" i="15"/>
  <c r="I2" i="18"/>
  <c r="J22" i="2" l="1"/>
  <c r="J17" i="2"/>
  <c r="J20" i="2"/>
  <c r="J15" i="2"/>
  <c r="J12" i="2"/>
  <c r="J11" i="2"/>
  <c r="J8" i="2"/>
  <c r="J7" i="2"/>
  <c r="J4" i="2"/>
  <c r="J3" i="2"/>
  <c r="J18" i="2"/>
  <c r="I2" i="13"/>
  <c r="I2" i="1"/>
  <c r="I2" i="7" l="1"/>
</calcChain>
</file>

<file path=xl/sharedStrings.xml><?xml version="1.0" encoding="utf-8"?>
<sst xmlns="http://schemas.openxmlformats.org/spreadsheetml/2006/main" count="172" uniqueCount="39">
  <si>
    <t>Runtime</t>
  </si>
  <si>
    <t>LapTime</t>
  </si>
  <si>
    <t>Crashes</t>
  </si>
  <si>
    <t>Distance</t>
  </si>
  <si>
    <t>control</t>
  </si>
  <si>
    <t>early-termination</t>
  </si>
  <si>
    <t>filter-count-3</t>
  </si>
  <si>
    <t>frame-stacking</t>
  </si>
  <si>
    <t>hierachical-learning</t>
  </si>
  <si>
    <t>high-iteration</t>
  </si>
  <si>
    <t>linear-binned-state</t>
  </si>
  <si>
    <t>linear-state</t>
  </si>
  <si>
    <t>low-iteration</t>
  </si>
  <si>
    <t>prio-sweep</t>
  </si>
  <si>
    <t>small-batchsize</t>
  </si>
  <si>
    <t>small-batchsize-small-poolsize</t>
  </si>
  <si>
    <t>spatial-linear-state</t>
  </si>
  <si>
    <t>spatial-state</t>
  </si>
  <si>
    <t>very-high-iteration</t>
  </si>
  <si>
    <t>Agg Avg</t>
  </si>
  <si>
    <t>Agg Median</t>
  </si>
  <si>
    <t>Stdev</t>
  </si>
  <si>
    <t>t-test vs smallbatchsize</t>
  </si>
  <si>
    <t>t.test vs control</t>
  </si>
  <si>
    <t>vs control</t>
  </si>
  <si>
    <t>vs smallbatch</t>
  </si>
  <si>
    <t>vs early</t>
  </si>
  <si>
    <t>vs spatial</t>
  </si>
  <si>
    <t>random-baseline</t>
  </si>
  <si>
    <t>very-high-iteration-full-batch</t>
  </si>
  <si>
    <t>large-poolsize</t>
  </si>
  <si>
    <t>human-assistance</t>
  </si>
  <si>
    <t>human-assistance-low-iteration</t>
  </si>
  <si>
    <t>t-test vs ctrl</t>
  </si>
  <si>
    <t>%-inc vs ctrl</t>
  </si>
  <si>
    <t>Avg/ctrl</t>
  </si>
  <si>
    <t>Avg/ctrl.stdev</t>
  </si>
  <si>
    <t>Runtime stdev</t>
  </si>
  <si>
    <t>large-batchsize-large-poolsize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</si>
</sst>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64" fontId="0" fillId="0" borderId="0" xfId="0" applyNumberFormat="1"/>
    <xf numFmtId="2" fontId="0" fillId="0" borderId="0" xfId="0" applyNumberFormat="1"/>
  </cellXfs>
  <cellStyles count="42">
    <cellStyle name="20 % - Markeringsfarve1" xfId="19" builtinId="30" customBuiltin="1"/>
    <cellStyle name="20 % - Markeringsfarve2" xfId="23" builtinId="34" customBuiltin="1"/>
    <cellStyle name="20 % - Markeringsfarve3" xfId="27" builtinId="38" customBuiltin="1"/>
    <cellStyle name="20 % - Markeringsfarve4" xfId="31" builtinId="42" customBuiltin="1"/>
    <cellStyle name="20 % - Markeringsfarve5" xfId="35" builtinId="46" customBuiltin="1"/>
    <cellStyle name="20 % - Markeringsfarve6" xfId="39" builtinId="50" customBuiltin="1"/>
    <cellStyle name="40 % - Markeringsfarve1" xfId="20" builtinId="31" customBuiltin="1"/>
    <cellStyle name="40 % - Markeringsfarve2" xfId="24" builtinId="35" customBuiltin="1"/>
    <cellStyle name="40 % - Markeringsfarve3" xfId="28" builtinId="39" customBuiltin="1"/>
    <cellStyle name="40 % - Markeringsfarve4" xfId="32" builtinId="43" customBuiltin="1"/>
    <cellStyle name="40 % - Markeringsfarve5" xfId="36" builtinId="47" customBuiltin="1"/>
    <cellStyle name="40 % - Markeringsfarve6" xfId="40" builtinId="51" customBuiltin="1"/>
    <cellStyle name="60 % - Markeringsfarve1" xfId="21" builtinId="32" customBuiltin="1"/>
    <cellStyle name="60 % - Markeringsfarve2" xfId="25" builtinId="36" customBuiltin="1"/>
    <cellStyle name="60 % - Markeringsfarve3" xfId="29" builtinId="40" customBuiltin="1"/>
    <cellStyle name="60 % - Markeringsfarve4" xfId="33" builtinId="44" customBuiltin="1"/>
    <cellStyle name="60 % - Markeringsfarve5" xfId="37" builtinId="48" customBuiltin="1"/>
    <cellStyle name="60 % - Markeringsfarve6" xfId="41" builtinId="52" customBuiltin="1"/>
    <cellStyle name="Advarselstekst" xfId="14" builtinId="11" customBuiltin="1"/>
    <cellStyle name="Bemærk!" xfId="15" builtinId="10" customBuiltin="1"/>
    <cellStyle name="Beregning" xfId="11" builtinId="22" customBuiltin="1"/>
    <cellStyle name="Forklarende tekst" xfId="16" builtinId="53" customBuiltin="1"/>
    <cellStyle name="God" xfId="6" builtinId="26" customBuiltin="1"/>
    <cellStyle name="Input" xfId="9" builtinId="20" customBuiltin="1"/>
    <cellStyle name="Kontroller celle" xfId="13" builtinId="23" customBuiltin="1"/>
    <cellStyle name="Markeringsfarve1" xfId="18" builtinId="29" customBuiltin="1"/>
    <cellStyle name="Markeringsfarve2" xfId="22" builtinId="33" customBuiltin="1"/>
    <cellStyle name="Markeringsfarve3" xfId="26" builtinId="37" customBuiltin="1"/>
    <cellStyle name="Markeringsfarve4" xfId="30" builtinId="41" customBuiltin="1"/>
    <cellStyle name="Markeringsfarve5" xfId="34" builtinId="45" customBuiltin="1"/>
    <cellStyle name="Markeringsfarve6" xfId="38" builtinId="49" customBuiltin="1"/>
    <cellStyle name="Neutral" xfId="8" builtinId="28" customBuiltin="1"/>
    <cellStyle name="Normal" xfId="0" builtinId="0"/>
    <cellStyle name="Output" xfId="10" builtinId="21" customBuiltin="1"/>
    <cellStyle name="Overskrift 1" xfId="2" builtinId="16" customBuiltin="1"/>
    <cellStyle name="Overskrift 2" xfId="3" builtinId="17" customBuiltin="1"/>
    <cellStyle name="Overskrift 3" xfId="4" builtinId="18" customBuiltin="1"/>
    <cellStyle name="Overskrift 4" xfId="5" builtinId="19" customBuiltin="1"/>
    <cellStyle name="Sammenkædet celle" xfId="12" builtinId="24" customBuiltin="1"/>
    <cellStyle name="Titel" xfId="1" builtinId="15" customBuiltin="1"/>
    <cellStyle name="Total" xfId="17" builtinId="25" customBuiltin="1"/>
    <cellStyle name="Ugyldig" xfId="7" builtinId="27" customBuiltin="1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Q25"/>
  <sheetViews>
    <sheetView tabSelected="1" workbookViewId="0">
      <selection activeCell="G2" sqref="G2:I22"/>
    </sheetView>
  </sheetViews>
  <sheetFormatPr defaultRowHeight="14.4" x14ac:dyDescent="0.3"/>
  <cols>
    <col min="1" max="1" width="30" customWidth="1"/>
    <col min="2" max="2" width="9" bestFit="1" customWidth="1"/>
    <col min="3" max="3" width="7.88671875" bestFit="1" customWidth="1"/>
    <col min="4" max="4" width="7.33203125" bestFit="1" customWidth="1"/>
    <col min="5" max="5" width="8" bestFit="1" customWidth="1"/>
    <col min="7" max="7" width="12" bestFit="1" customWidth="1"/>
    <col min="8" max="8" width="10.44140625" bestFit="1" customWidth="1"/>
    <col min="9" max="9" width="7.5546875" bestFit="1" customWidth="1"/>
    <col min="10" max="10" width="10.6640625" bestFit="1" customWidth="1"/>
  </cols>
  <sheetData>
    <row r="1" spans="1:17" x14ac:dyDescent="0.25">
      <c r="B1" t="s">
        <v>0</v>
      </c>
      <c r="C1" t="s">
        <v>1</v>
      </c>
      <c r="D1" t="s">
        <v>2</v>
      </c>
      <c r="E1" t="s">
        <v>3</v>
      </c>
      <c r="G1" t="s">
        <v>19</v>
      </c>
      <c r="H1" t="s">
        <v>20</v>
      </c>
      <c r="I1" t="s">
        <v>21</v>
      </c>
      <c r="J1" t="s">
        <v>34</v>
      </c>
      <c r="K1" t="s">
        <v>33</v>
      </c>
      <c r="M1" t="s">
        <v>35</v>
      </c>
      <c r="N1" t="s">
        <v>36</v>
      </c>
      <c r="Q1" t="s">
        <v>37</v>
      </c>
    </row>
    <row r="2" spans="1:17" x14ac:dyDescent="0.25">
      <c r="A2" t="s">
        <v>4</v>
      </c>
      <c r="B2">
        <f>AVERAGE(control!A2:A21)</f>
        <v>232.012</v>
      </c>
      <c r="C2">
        <f>AVERAGE(control!B2:B21)</f>
        <v>11.087</v>
      </c>
      <c r="D2">
        <f>AVERAGE(control!C2:C21)</f>
        <v>2.25</v>
      </c>
      <c r="E2">
        <f>AVERAGE(control!D2:D21)</f>
        <v>57.968500000000006</v>
      </c>
      <c r="G2" s="1">
        <f>AVERAGE(control!G2:G21)</f>
        <v>65.571488091703557</v>
      </c>
      <c r="H2" s="1">
        <f>MEDIAN(control!G2:G21)</f>
        <v>47.46</v>
      </c>
      <c r="I2" s="1">
        <f>_xlfn.STDEV.S(control!G2:G21)</f>
        <v>78.047653923776465</v>
      </c>
      <c r="J2" s="2">
        <f>(G2-G2)/ABS(G2)%</f>
        <v>0</v>
      </c>
      <c r="K2" s="1">
        <f>_xlfn.T.TEST(control!G2:G21,control!G2:G21,1,3)</f>
        <v>0.5</v>
      </c>
      <c r="M2" s="2">
        <f>AVERAGE(control!M2:M21)</f>
        <v>1.0000074437129762</v>
      </c>
      <c r="N2">
        <f>_xlfn.STDEV.S(control!M2:M21)</f>
        <v>1.1902770115413288</v>
      </c>
      <c r="Q2">
        <f>_xlfn.STDEV.S(control!A2:A21)</f>
        <v>18.461616397271399</v>
      </c>
    </row>
    <row r="3" spans="1:17" x14ac:dyDescent="0.25">
      <c r="A3" t="s">
        <v>12</v>
      </c>
      <c r="B3">
        <f>AVERAGE('low-iteration'!A2:A21)</f>
        <v>234.83400000000006</v>
      </c>
      <c r="C3">
        <f>AVERAGE('low-iteration'!B2:B21)</f>
        <v>17.051000000000002</v>
      </c>
      <c r="D3">
        <f>AVERAGE('low-iteration'!C2:C21)</f>
        <v>3.6</v>
      </c>
      <c r="E3">
        <f>AVERAGE('low-iteration'!D2:D21)</f>
        <v>99.046499999999995</v>
      </c>
      <c r="G3" s="1">
        <f>AVERAGE('low-iteration'!G2:G21)</f>
        <v>118.96591530099235</v>
      </c>
      <c r="H3" s="1">
        <f>MEDIAN('low-iteration'!G2:G21)</f>
        <v>130.76999999999998</v>
      </c>
      <c r="I3" s="1">
        <f>_xlfn.STDEV.S('low-iteration'!G2:G21)</f>
        <v>97.814392931369071</v>
      </c>
      <c r="J3" s="2">
        <f>(G3-G2)/ABS(G2)%</f>
        <v>81.429335772607743</v>
      </c>
      <c r="K3" s="1">
        <f>_xlfn.T.TEST('low-iteration'!G2:G21,control!G2:G21,1,3)</f>
        <v>3.2157548385827975E-2</v>
      </c>
      <c r="M3">
        <f>AVERAGE('low-iteration'!M2:M21)</f>
        <v>1.8143068628050874</v>
      </c>
      <c r="N3">
        <f>_xlfn.STDEV.S('low-iteration'!M2:M21)</f>
        <v>1.4917325179022591</v>
      </c>
      <c r="Q3">
        <f>_xlfn.STDEV.S('low-iteration'!A2:A21)</f>
        <v>26.619137437090323</v>
      </c>
    </row>
    <row r="4" spans="1:17" x14ac:dyDescent="0.25">
      <c r="A4" t="s">
        <v>13</v>
      </c>
      <c r="B4">
        <f>AVERAGE('prio-sweep'!A2:A21)</f>
        <v>288.82600000000008</v>
      </c>
      <c r="C4">
        <f>AVERAGE('prio-sweep'!B2:B21)</f>
        <v>6.6290000000000004</v>
      </c>
      <c r="D4">
        <f>AVERAGE('prio-sweep'!C2:C21)</f>
        <v>1.4</v>
      </c>
      <c r="E4">
        <f>AVERAGE('prio-sweep'!D2:D21)</f>
        <v>25.975999999999999</v>
      </c>
      <c r="G4" s="1">
        <f>AVERAGE('prio-sweep'!G2:G21)</f>
        <v>26.588418831653758</v>
      </c>
      <c r="H4" s="1">
        <f>MEDIAN('prio-sweep'!G2:G21)</f>
        <v>0</v>
      </c>
      <c r="I4" s="1">
        <f>_xlfn.STDEV.S('prio-sweep'!G2:G21)</f>
        <v>62.365562707183066</v>
      </c>
      <c r="J4" s="2">
        <f>(G4-G2)/ABS(G2)%</f>
        <v>-59.451249917541737</v>
      </c>
      <c r="K4" s="1">
        <f>_xlfn.T.TEST('prio-sweep'!G2:G21,control!G2:G21,1,3)</f>
        <v>4.4726904719266797E-2</v>
      </c>
      <c r="M4">
        <f>AVERAGE('prio-sweep'!M2:M21)</f>
        <v>0.40549051915715423</v>
      </c>
      <c r="N4">
        <f>_xlfn.STDEV.S('prio-sweep'!M2:M21)</f>
        <v>0.9511150158939633</v>
      </c>
      <c r="Q4">
        <f>_xlfn.STDEV.S('prio-sweep'!A2:A21)</f>
        <v>168.62651728161336</v>
      </c>
    </row>
    <row r="5" spans="1:17" x14ac:dyDescent="0.25">
      <c r="A5" t="s">
        <v>31</v>
      </c>
      <c r="B5">
        <f>AVERAGE('human-assistance'!A2:A21)</f>
        <v>195.7175</v>
      </c>
      <c r="C5">
        <f>AVERAGE('human-assistance'!B2:B21)</f>
        <v>17.169</v>
      </c>
      <c r="D5">
        <f>AVERAGE('human-assistance'!C2:C21)</f>
        <v>4</v>
      </c>
      <c r="E5">
        <f>AVERAGE('human-assistance'!D2:D21)</f>
        <v>107.25749999999998</v>
      </c>
      <c r="G5" s="1">
        <f>AVERAGE('human-assistance'!G2:G21)</f>
        <v>141.58646986001921</v>
      </c>
      <c r="H5" s="1">
        <f>MEDIAN('human-assistance'!G2:G21)</f>
        <v>158.95742202418842</v>
      </c>
      <c r="I5" s="1">
        <f>_xlfn.STDEV.S('human-assistance'!G2:G21)</f>
        <v>109.15328158752831</v>
      </c>
      <c r="J5" s="2">
        <f>(G5-G2)/ABS(G2)%</f>
        <v>115.92688221747626</v>
      </c>
      <c r="K5" s="1">
        <f>_xlfn.T.TEST('human-assistance'!G2:G21,control!G2:G21,1,3)</f>
        <v>8.0075426205280728E-3</v>
      </c>
      <c r="M5">
        <f>AVERAGE('human-assistance'!M2:M21)</f>
        <v>2.1592848951521133</v>
      </c>
      <c r="N5">
        <f>_xlfn.STDEV.S('human-assistance'!M2:M21)</f>
        <v>1.6646578760050676</v>
      </c>
      <c r="Q5">
        <f>_xlfn.STDEV.S('human-assistance'!A2:A21)</f>
        <v>21.101944753231258</v>
      </c>
    </row>
    <row r="6" spans="1:17" x14ac:dyDescent="0.25">
      <c r="A6" t="s">
        <v>32</v>
      </c>
      <c r="B6">
        <f>AVERAGE('human-assistance-low-iteration'!A2:A21)</f>
        <v>92.277000000000001</v>
      </c>
      <c r="C6">
        <f>AVERAGE('human-assistance-low-iteration'!B2:B21)</f>
        <v>17.579000000000001</v>
      </c>
      <c r="D6">
        <f>AVERAGE('human-assistance-low-iteration'!C2:C21)</f>
        <v>4.25</v>
      </c>
      <c r="E6">
        <f>AVERAGE('human-assistance-low-iteration'!D2:D21)</f>
        <v>104.63699999999999</v>
      </c>
      <c r="G6" s="1">
        <f>AVERAGE('human-assistance-low-iteration'!G2:G21)</f>
        <v>129.88284594174428</v>
      </c>
      <c r="H6" s="1">
        <f>MEDIAN('human-assistance-low-iteration'!G2:G21)</f>
        <v>152.07999999999998</v>
      </c>
      <c r="I6" s="1">
        <f>_xlfn.STDEV.S('human-assistance-low-iteration'!G2:G21)</f>
        <v>100.33955728808628</v>
      </c>
      <c r="J6" s="2">
        <f>(G6-G2)/ABS(G2)%</f>
        <v>98.078234491337895</v>
      </c>
      <c r="K6" s="1">
        <f>_xlfn.T.TEST('human-assistance-low-iteration'!G2:G21,control!G2:G21,1,3)</f>
        <v>1.4913958984923363E-2</v>
      </c>
      <c r="M6">
        <f>AVERAGE('human-assistance-low-iteration'!M2:M21)</f>
        <v>1.9807970892886229</v>
      </c>
      <c r="N6">
        <f>_xlfn.STDEV.S('human-assistance-low-iteration'!M2:M21)</f>
        <v>1.5302429014059002</v>
      </c>
      <c r="Q6">
        <f>_xlfn.STDEV.S('human-assistance-low-iteration'!A2:A21)</f>
        <v>18.91397119369142</v>
      </c>
    </row>
    <row r="7" spans="1:17" x14ac:dyDescent="0.25">
      <c r="A7" t="s">
        <v>5</v>
      </c>
      <c r="B7">
        <f>AVERAGE('early-termination'!A2:A21)</f>
        <v>243.202</v>
      </c>
      <c r="C7">
        <f>AVERAGE('early-termination'!B2:B21)</f>
        <v>17.888999999999996</v>
      </c>
      <c r="D7">
        <f>AVERAGE('early-termination'!C2:C21)</f>
        <v>4.1500000000000004</v>
      </c>
      <c r="E7">
        <f>AVERAGE('early-termination'!D2:D21)</f>
        <v>93.953500000000005</v>
      </c>
      <c r="G7" s="1">
        <f>AVERAGE('early-termination'!G2:G21)</f>
        <v>105.85516907214637</v>
      </c>
      <c r="H7" s="1">
        <f>MEDIAN('early-termination'!G2:G21)</f>
        <v>89.115000000000009</v>
      </c>
      <c r="I7" s="1">
        <f>_xlfn.STDEV.S('early-termination'!G2:G21)</f>
        <v>87.44723252965403</v>
      </c>
      <c r="J7" s="2">
        <f>(G7-G2)/ABS(G2)%</f>
        <v>61.43475183010176</v>
      </c>
      <c r="K7" s="1">
        <f>_xlfn.T.TEST('early-termination'!G2:G21,control!G2:G21,1,3)</f>
        <v>6.6341823985686499E-2</v>
      </c>
      <c r="M7">
        <f>AVERAGE('early-termination'!M2:M21)</f>
        <v>1.6143595350405877</v>
      </c>
      <c r="N7">
        <f>_xlfn.STDEV.S('early-termination'!M2:M21)</f>
        <v>1.33362664180284</v>
      </c>
      <c r="Q7">
        <f>_xlfn.STDEV.S('early-termination'!A2:A21)</f>
        <v>19.35933790733883</v>
      </c>
    </row>
    <row r="8" spans="1:17" x14ac:dyDescent="0.25">
      <c r="A8" t="s">
        <v>8</v>
      </c>
      <c r="B8">
        <f>AVERAGE('hierachical-learning'!A2:A21)</f>
        <v>196.65150000000003</v>
      </c>
      <c r="C8">
        <f>AVERAGE('hierachical-learning'!B2:B21)</f>
        <v>16.503999999999998</v>
      </c>
      <c r="D8">
        <f>AVERAGE('hierachical-learning'!C2:C21)</f>
        <v>3.45</v>
      </c>
      <c r="E8">
        <f>AVERAGE('hierachical-learning'!D2:D21)</f>
        <v>98.825999999999993</v>
      </c>
      <c r="G8" s="1">
        <f>AVERAGE('hierachical-learning'!G2:G21)</f>
        <v>126.85137890684378</v>
      </c>
      <c r="H8" s="1">
        <f>MEDIAN('hierachical-learning'!G2:G21)</f>
        <v>136.67000000000002</v>
      </c>
      <c r="I8" s="1">
        <f>_xlfn.STDEV.S('hierachical-learning'!G2:G21)</f>
        <v>106.34971127709477</v>
      </c>
      <c r="J8" s="2">
        <f>(G8-G2)/ABS(G2)%</f>
        <v>93.455086347039412</v>
      </c>
      <c r="K8" s="1">
        <f>_xlfn.T.TEST('hierachical-learning'!G2:G21,control!G2:G21,1,3)</f>
        <v>2.2593986342620238E-2</v>
      </c>
      <c r="M8">
        <f>AVERAGE('hierachical-learning'!M2:M21)</f>
        <v>1.9345652637117587</v>
      </c>
      <c r="N8">
        <f>_xlfn.STDEV.S('hierachical-learning'!M2:M21)</f>
        <v>1.6219016223192395</v>
      </c>
      <c r="Q8">
        <f>_xlfn.STDEV.S('hierachical-learning'!A2:A21)</f>
        <v>21.581118520107875</v>
      </c>
    </row>
    <row r="9" spans="1:17" x14ac:dyDescent="0.25">
      <c r="A9" t="s">
        <v>6</v>
      </c>
      <c r="B9">
        <f>AVERAGE('filter-count-3'!A2:A21)</f>
        <v>509.34400000000005</v>
      </c>
      <c r="C9">
        <f>AVERAGE('filter-count-3'!B2:B21)</f>
        <v>10.643000000000001</v>
      </c>
      <c r="D9">
        <f>AVERAGE('filter-count-3'!C2:C21)</f>
        <v>1.95</v>
      </c>
      <c r="E9">
        <f>AVERAGE('filter-count-3'!D2:D21)</f>
        <v>57.845500000000001</v>
      </c>
      <c r="G9" s="1">
        <f>AVERAGE('filter-count-3'!G2:G21)</f>
        <v>61.012367612293147</v>
      </c>
      <c r="H9" s="1">
        <f>MEDIAN('filter-count-3'!G2:G21)</f>
        <v>47.465000000000003</v>
      </c>
      <c r="I9" s="1">
        <f>_xlfn.STDEV.S('filter-count-3'!G2:G21)</f>
        <v>56.622242410805292</v>
      </c>
      <c r="J9" s="2">
        <f>(G9-G2)/ABS(G2)%</f>
        <v>-6.9529007379462744</v>
      </c>
      <c r="K9" s="1">
        <f>_xlfn.T.TEST('filter-count-3'!G2:G21,control!G2:G21,1,3)</f>
        <v>0.41688632419112204</v>
      </c>
      <c r="M9">
        <f>AVERAGE('filter-count-3'!M2:M21)</f>
        <v>0.93047791877953878</v>
      </c>
      <c r="N9">
        <f>_xlfn.STDEV.S('filter-count-3'!M2:M21)</f>
        <v>0.8635256807247913</v>
      </c>
      <c r="Q9">
        <f>_xlfn.STDEV.S('filter-count-3'!A2:A21)</f>
        <v>51.306157976560556</v>
      </c>
    </row>
    <row r="10" spans="1:17" x14ac:dyDescent="0.25">
      <c r="A10" t="s">
        <v>16</v>
      </c>
      <c r="B10">
        <f>AVERAGE('spatial-linear-state'!A2:A21)</f>
        <v>151.50600000000003</v>
      </c>
      <c r="C10">
        <f>AVERAGE('spatial-linear-state'!B2:B21)</f>
        <v>12.479999999999999</v>
      </c>
      <c r="D10">
        <f>AVERAGE('spatial-linear-state'!C2:C21)</f>
        <v>2.7</v>
      </c>
      <c r="E10">
        <f>AVERAGE('spatial-linear-state'!D2:D21)</f>
        <v>62.198500000000003</v>
      </c>
      <c r="G10" s="1">
        <f>AVERAGE('spatial-linear-state'!G2:G21)</f>
        <v>65.209654049894596</v>
      </c>
      <c r="H10" s="1">
        <f>MEDIAN('spatial-linear-state'!G2:G21)</f>
        <v>47.66</v>
      </c>
      <c r="I10" s="1">
        <f>_xlfn.STDEV.S('spatial-linear-state'!G2:G21)</f>
        <v>69.026600081095381</v>
      </c>
      <c r="J10" s="2">
        <f>(G10-G2)/ABS(G2)%</f>
        <v>-0.55181612060248897</v>
      </c>
      <c r="K10" s="1">
        <f>_xlfn.T.TEST('spatial-linear-state'!G2:G21,control!G2:G21,1,3)</f>
        <v>0.49384568165562992</v>
      </c>
      <c r="M10">
        <f>AVERAGE('spatial-linear-state'!M2:M21)</f>
        <v>0.9944892414313431</v>
      </c>
      <c r="N10">
        <f>_xlfn.STDEV.S('spatial-linear-state'!M2:M21)</f>
        <v>1.0527001278171046</v>
      </c>
      <c r="Q10">
        <f>_xlfn.STDEV.S('spatial-linear-state'!A2:A21)</f>
        <v>22.073633807637499</v>
      </c>
    </row>
    <row r="11" spans="1:17" x14ac:dyDescent="0.25">
      <c r="A11" t="s">
        <v>17</v>
      </c>
      <c r="B11">
        <f>AVERAGE('spatial-state'!A2:A21)</f>
        <v>323.10399999999998</v>
      </c>
      <c r="C11">
        <f>AVERAGE('spatial-state'!B2:B21)</f>
        <v>9.593</v>
      </c>
      <c r="D11">
        <f>AVERAGE('spatial-state'!C2:C21)</f>
        <v>2.1</v>
      </c>
      <c r="E11">
        <f>AVERAGE('spatial-state'!D2:D21)</f>
        <v>43.060500000000005</v>
      </c>
      <c r="G11" s="1">
        <f>AVERAGE('spatial-state'!G2:G21)</f>
        <v>45.500324903208849</v>
      </c>
      <c r="H11" s="1">
        <f>MEDIAN('spatial-state'!G2:G21)</f>
        <v>18.59</v>
      </c>
      <c r="I11" s="1">
        <f>_xlfn.STDEV.S('spatial-state'!G2:G21)</f>
        <v>70.161525359971009</v>
      </c>
      <c r="J11" s="2">
        <f>(G11-G2)/ABS(G2)%</f>
        <v>-30.609589278231152</v>
      </c>
      <c r="K11" s="1">
        <f>_xlfn.T.TEST('spatial-state'!G2:G21,control!G2:G21,1,3)</f>
        <v>0.19890561523824152</v>
      </c>
      <c r="M11">
        <f>AVERAGE('spatial-state'!M2:M21)</f>
        <v>0.69390927244069545</v>
      </c>
      <c r="N11">
        <f>_xlfn.STDEV.S('spatial-state'!M2:M21)</f>
        <v>1.0700084695973984</v>
      </c>
      <c r="Q11">
        <f>_xlfn.STDEV.S('spatial-state'!A2:A21)</f>
        <v>56.450079707183562</v>
      </c>
    </row>
    <row r="12" spans="1:17" x14ac:dyDescent="0.25">
      <c r="A12" t="s">
        <v>11</v>
      </c>
      <c r="B12">
        <f>AVERAGE('linear-state'!A2:A21)</f>
        <v>81.049499999999995</v>
      </c>
      <c r="C12">
        <f>AVERAGE('linear-state'!B2:B21)</f>
        <v>28.043000000000006</v>
      </c>
      <c r="D12">
        <f>AVERAGE('linear-state'!C2:C21)</f>
        <v>6.8</v>
      </c>
      <c r="E12">
        <f>AVERAGE('linear-state'!D2:D21)</f>
        <v>158.602</v>
      </c>
      <c r="G12" s="1">
        <f>AVERAGE('linear-state'!G2:G21)</f>
        <v>192.32320507260141</v>
      </c>
      <c r="H12" s="1">
        <f>MEDIAN('linear-state'!G2:G21)</f>
        <v>196.68088356917082</v>
      </c>
      <c r="I12" s="1">
        <f>_xlfn.STDEV.S('linear-state'!G2:G21)</f>
        <v>53.178418674104918</v>
      </c>
      <c r="J12" s="2">
        <f>(G12-G2)/ABS(G2)%</f>
        <v>193.30309661972601</v>
      </c>
      <c r="K12" s="1">
        <f>_xlfn.T.TEST('linear-state'!G2:G21,control!G2:G21,1,3)</f>
        <v>4.5201512448514891E-7</v>
      </c>
      <c r="M12">
        <f>AVERAGE('linear-state'!M2:M21)</f>
        <v>2.933052798837922</v>
      </c>
      <c r="N12">
        <f>_xlfn.STDEV.S('linear-state'!M2:M21)</f>
        <v>0.81100514974767834</v>
      </c>
      <c r="Q12">
        <f>_xlfn.STDEV.S('linear-state'!A2:A21)</f>
        <v>12.728208405369839</v>
      </c>
    </row>
    <row r="13" spans="1:17" x14ac:dyDescent="0.25">
      <c r="A13" t="s">
        <v>10</v>
      </c>
      <c r="B13">
        <f>AVERAGE('linear-binned-state'!A2:A21)</f>
        <v>96.022999999999982</v>
      </c>
      <c r="C13">
        <f>AVERAGE('linear-binned-state'!B2:B21)</f>
        <v>25.725000000000001</v>
      </c>
      <c r="D13">
        <f>AVERAGE('linear-binned-state'!C2:C21)</f>
        <v>6.05</v>
      </c>
      <c r="E13">
        <f>AVERAGE('linear-binned-state'!D2:D21)</f>
        <v>150.29400000000004</v>
      </c>
      <c r="G13" s="1">
        <f>AVERAGE('linear-binned-state'!G2:G21)</f>
        <v>188.46635385449545</v>
      </c>
      <c r="H13" s="1">
        <f>MEDIAN('linear-binned-state'!G2:G21)</f>
        <v>206.99902224165939</v>
      </c>
      <c r="I13" s="1">
        <f>_xlfn.STDEV.S('linear-binned-state'!G2:G21)</f>
        <v>69.663956467431404</v>
      </c>
      <c r="J13" s="2">
        <f>(G13-G2)/ABS(G2)%</f>
        <v>187.4211937830662</v>
      </c>
      <c r="K13" s="1">
        <f>_xlfn.T.TEST('linear-binned-state'!G2:G21,control!G2:G21,1,3)</f>
        <v>3.1000473759068661E-6</v>
      </c>
      <c r="M13">
        <f>AVERAGE('linear-binned-state'!M2:M21)</f>
        <v>2.874233332639359</v>
      </c>
      <c r="N13">
        <f>_xlfn.STDEV.S('linear-binned-state'!M2:M21)</f>
        <v>1.0624202233827684</v>
      </c>
      <c r="Q13">
        <f>_xlfn.STDEV.S('linear-binned-state'!A2:A21)</f>
        <v>8.1384998617681372</v>
      </c>
    </row>
    <row r="14" spans="1:17" x14ac:dyDescent="0.25">
      <c r="A14" t="s">
        <v>18</v>
      </c>
      <c r="B14">
        <f>AVERAGE('very-high-iteration'!A2:A21)</f>
        <v>875.80449999999996</v>
      </c>
      <c r="C14">
        <f>AVERAGE('very-high-iteration'!B2:B21)</f>
        <v>14.804999999999998</v>
      </c>
      <c r="D14">
        <f>AVERAGE('very-high-iteration'!C2:C21)</f>
        <v>3.2</v>
      </c>
      <c r="E14">
        <f>AVERAGE('very-high-iteration'!D2:D21)</f>
        <v>83.683500000000009</v>
      </c>
      <c r="G14" s="1">
        <f>AVERAGE('very-high-iteration'!G2:G21)</f>
        <v>97.631095299094582</v>
      </c>
      <c r="H14" s="1">
        <f>MEDIAN('very-high-iteration'!G2:G21)</f>
        <v>47.674999999999997</v>
      </c>
      <c r="I14" s="1">
        <f>_xlfn.STDEV.S('very-high-iteration'!G2:G21)</f>
        <v>89.336089875809463</v>
      </c>
      <c r="J14" s="2">
        <f>(G14-G2)/ABS(G2)%</f>
        <v>48.892602776613472</v>
      </c>
      <c r="K14" s="1">
        <f>_xlfn.T.TEST('very-high-iteration'!G2:G21,control!G2:G21,1,3)</f>
        <v>0.11720502141396213</v>
      </c>
      <c r="M14">
        <f>AVERAGE('very-high-iteration'!M2:M21)</f>
        <v>1.4889371109041283</v>
      </c>
      <c r="N14">
        <f>_xlfn.STDEV.S('very-high-iteration'!M2:M21)</f>
        <v>1.36243293339753</v>
      </c>
      <c r="Q14">
        <f>_xlfn.STDEV.S('very-high-iteration'!A2:A21)</f>
        <v>49.527768338366968</v>
      </c>
    </row>
    <row r="15" spans="1:17" x14ac:dyDescent="0.25">
      <c r="A15" t="s">
        <v>29</v>
      </c>
      <c r="B15">
        <f>AVERAGE('very-high-iteration-full-batch'!A2:A21)</f>
        <v>1693.9175000000002</v>
      </c>
      <c r="C15">
        <f>AVERAGE('very-high-iteration-full-batch'!B2:B21)</f>
        <v>10.772000000000002</v>
      </c>
      <c r="D15">
        <f>AVERAGE('very-high-iteration-full-batch'!C2:C21)</f>
        <v>2.2000000000000002</v>
      </c>
      <c r="E15">
        <f>AVERAGE('very-high-iteration-full-batch'!D2:D21)</f>
        <v>60.591499999999996</v>
      </c>
      <c r="G15" s="1">
        <f>AVERAGE('very-high-iteration-full-batch'!G2:G21)</f>
        <v>64.002094202898547</v>
      </c>
      <c r="H15" s="1">
        <f>MEDIAN('very-high-iteration-full-batch'!G2:G21)</f>
        <v>47.58</v>
      </c>
      <c r="I15" s="1">
        <f>_xlfn.STDEV.S('very-high-iteration-full-batch'!G2:G21)</f>
        <v>57.95458094073129</v>
      </c>
      <c r="J15" s="2">
        <f>(G15-G2)/ABS(G2)%</f>
        <v>-2.3934089868605217</v>
      </c>
      <c r="K15" s="1">
        <f>_xlfn.T.TEST('very-high-iteration-full-batch'!G2:G21,control!G2:G21,1,3)</f>
        <v>0.47142714648759676</v>
      </c>
      <c r="M15">
        <f>AVERAGE('very-high-iteration-full-batch'!M2:M21)</f>
        <v>0.9760731756858757</v>
      </c>
      <c r="N15">
        <f>_xlfn.STDEV.S('very-high-iteration-full-batch'!M2:M21)</f>
        <v>0.88384470178480301</v>
      </c>
      <c r="Q15">
        <f>_xlfn.STDEV.S('very-high-iteration-full-batch'!A2:A21)</f>
        <v>67.033000425556324</v>
      </c>
    </row>
    <row r="16" spans="1:17" x14ac:dyDescent="0.25">
      <c r="A16" t="s">
        <v>9</v>
      </c>
      <c r="B16">
        <f>AVERAGE('high-iteration'!A2:A21)</f>
        <v>918.78099999999995</v>
      </c>
      <c r="C16">
        <f>AVERAGE('high-iteration'!B2:B21)</f>
        <v>10.821000000000002</v>
      </c>
      <c r="D16">
        <f>AVERAGE('high-iteration'!C2:C21)</f>
        <v>2</v>
      </c>
      <c r="E16">
        <f>AVERAGE('high-iteration'!D2:D21)</f>
        <v>59.103499999999997</v>
      </c>
      <c r="G16" s="1">
        <f>AVERAGE('high-iteration'!G2:G21)</f>
        <v>67.602594800500697</v>
      </c>
      <c r="H16" s="1">
        <f>MEDIAN('high-iteration'!G2:G21)</f>
        <v>47.424999999999997</v>
      </c>
      <c r="I16" s="1">
        <f>_xlfn.STDEV.S('high-iteration'!G2:G21)</f>
        <v>73.535074126116342</v>
      </c>
      <c r="J16" s="2">
        <f>(G16-G2)/ABS(G2)%</f>
        <v>3.0975455459491479</v>
      </c>
      <c r="K16" s="1">
        <f>_xlfn.T.TEST('high-iteration'!G2:G21,control!G2:G21,1,3)</f>
        <v>0.4664702006021898</v>
      </c>
      <c r="M16">
        <f>AVERAGE('high-iteration'!M2:M21)</f>
        <v>1.0309831297448671</v>
      </c>
      <c r="N16">
        <f>_xlfn.STDEV.S('high-iteration'!M2:M21)</f>
        <v>1.1214572619925935</v>
      </c>
      <c r="Q16">
        <f>_xlfn.STDEV.S('high-iteration'!A2:A21)</f>
        <v>42.897299007108408</v>
      </c>
    </row>
    <row r="17" spans="1:17" x14ac:dyDescent="0.25">
      <c r="A17" t="s">
        <v>14</v>
      </c>
      <c r="B17">
        <f>AVERAGE('small-batchsize'!A2:A21)</f>
        <v>117.29849999999996</v>
      </c>
      <c r="C17">
        <f>AVERAGE('small-batchsize'!B2:B21)</f>
        <v>12.457999999999998</v>
      </c>
      <c r="D17">
        <f>AVERAGE('small-batchsize'!C2:C21)</f>
        <v>2.8</v>
      </c>
      <c r="E17">
        <f>AVERAGE('small-batchsize'!D2:D21)</f>
        <v>62.118000000000009</v>
      </c>
      <c r="G17" s="1">
        <f>AVERAGE('small-batchsize'!G2:G21)</f>
        <v>67.877763566708197</v>
      </c>
      <c r="H17" s="1">
        <f>MEDIAN('small-batchsize'!G2:G21)</f>
        <v>47.55</v>
      </c>
      <c r="I17" s="1">
        <f>_xlfn.STDEV.S('small-batchsize'!G2:G21)</f>
        <v>79.573831510113351</v>
      </c>
      <c r="J17" s="2">
        <f>(G17-G2)/ABS(G2)%</f>
        <v>3.5171925209006218</v>
      </c>
      <c r="K17" s="1">
        <f>_xlfn.T.TEST('small-batchsize'!G2:G21,control!G2:G21,1,3)</f>
        <v>0.46337970508833265</v>
      </c>
      <c r="M17">
        <f>AVERAGE('small-batchsize'!M2:M21)</f>
        <v>1.0351796307316981</v>
      </c>
      <c r="N17">
        <f>_xlfn.STDEV.S('small-batchsize'!M2:M21)</f>
        <v>1.2135522031098107</v>
      </c>
      <c r="Q17">
        <f>_xlfn.STDEV.S('small-batchsize'!A2:A21)</f>
        <v>8.8331685171648093</v>
      </c>
    </row>
    <row r="18" spans="1:17" x14ac:dyDescent="0.25">
      <c r="A18" t="s">
        <v>15</v>
      </c>
      <c r="B18">
        <f>AVERAGE('small-batchsize-small-poolsize'!A2:A21)</f>
        <v>127.43200000000002</v>
      </c>
      <c r="C18">
        <f>AVERAGE('small-batchsize-small-poolsize'!B2:B21)</f>
        <v>14.665999999999997</v>
      </c>
      <c r="D18">
        <f>AVERAGE('small-batchsize-small-poolsize'!C2:C21)</f>
        <v>3.2</v>
      </c>
      <c r="E18">
        <f>AVERAGE('small-batchsize-small-poolsize'!D2:D21)</f>
        <v>77.756</v>
      </c>
      <c r="G18" s="1">
        <f>AVERAGE('small-batchsize-small-poolsize'!G2:G21)</f>
        <v>87.883565895735629</v>
      </c>
      <c r="H18" s="1">
        <f>MEDIAN('small-batchsize-small-poolsize'!G2:G21)</f>
        <v>48.085000000000001</v>
      </c>
      <c r="I18" s="1">
        <f>_xlfn.STDEV.S('small-batchsize-small-poolsize'!G2:G21)</f>
        <v>86.222976413375989</v>
      </c>
      <c r="J18" s="2">
        <f>(G18-G2)/ABS(G2)%</f>
        <v>34.027103018964596</v>
      </c>
      <c r="K18" s="1">
        <f>_xlfn.T.TEST('small-batchsize-small-poolsize'!G2:G21,control!G2:G21,1,3)</f>
        <v>0.19817009827829829</v>
      </c>
      <c r="M18">
        <f>AVERAGE('small-batchsize-small-poolsize'!M2:M21)</f>
        <v>1.3402810067825048</v>
      </c>
      <c r="N18">
        <f>_xlfn.STDEV.S('small-batchsize-small-poolsize'!M2:M21)</f>
        <v>1.314955947192753</v>
      </c>
      <c r="Q18">
        <f>_xlfn.STDEV.S('small-batchsize-small-poolsize'!A2:A21)</f>
        <v>14.093898493207451</v>
      </c>
    </row>
    <row r="19" spans="1:17" x14ac:dyDescent="0.25">
      <c r="A19" t="s">
        <v>30</v>
      </c>
      <c r="B19">
        <f>AVERAGE('large-poolsize'!A2:A21)</f>
        <v>175.6515</v>
      </c>
      <c r="C19">
        <f>AVERAGE('large-poolsize'!B2:B21)</f>
        <v>16.359999999999996</v>
      </c>
      <c r="D19">
        <f>AVERAGE('large-poolsize'!C2:C21)</f>
        <v>3.55</v>
      </c>
      <c r="E19">
        <f>AVERAGE('large-poolsize'!D2:D21)</f>
        <v>104.768</v>
      </c>
      <c r="G19" s="1">
        <f>AVERAGE('large-poolsize'!G2:G21)</f>
        <v>140.02531807191934</v>
      </c>
      <c r="H19" s="1">
        <f>MEDIAN('large-poolsize'!G2:G21)</f>
        <v>130.60500000000002</v>
      </c>
      <c r="I19" s="1">
        <f>_xlfn.STDEV.S('large-poolsize'!G2:G21)</f>
        <v>104.36522474201762</v>
      </c>
      <c r="J19" s="2">
        <f>(G19-G2)/ABS(G2)%</f>
        <v>113.54604287169757</v>
      </c>
      <c r="K19" s="1">
        <f>_xlfn.T.TEST('large-poolsize'!G2:G21,control!G2:G21,1,3)</f>
        <v>7.5491355727731295E-3</v>
      </c>
      <c r="M19">
        <f>AVERAGE('large-poolsize'!M2:M21)</f>
        <v>2.1354763244714792</v>
      </c>
      <c r="N19">
        <f>_xlfn.STDEV.S('large-poolsize'!M2:M21)</f>
        <v>1.5916369239758057</v>
      </c>
      <c r="Q19">
        <f>_xlfn.STDEV.S('large-poolsize'!A2:A21)</f>
        <v>19.354355765699548</v>
      </c>
    </row>
    <row r="20" spans="1:17" x14ac:dyDescent="0.25">
      <c r="A20" t="s">
        <v>38</v>
      </c>
      <c r="B20">
        <f>AVERAGE('large-batchsize-large-poolsize'!A2:A21)</f>
        <v>246.16400000000004</v>
      </c>
      <c r="C20">
        <f>AVERAGE('large-batchsize-large-poolsize'!B2:B21)</f>
        <v>13.164000000000005</v>
      </c>
      <c r="D20">
        <f>AVERAGE('large-batchsize-large-poolsize'!C2:C21)</f>
        <v>3</v>
      </c>
      <c r="E20">
        <f>AVERAGE('large-batchsize-large-poolsize'!D2:D21)</f>
        <v>72.830000000000013</v>
      </c>
      <c r="G20" s="1">
        <f>AVERAGE('large-batchsize-large-poolsize'!G2:G21)</f>
        <v>85.207364531186855</v>
      </c>
      <c r="H20" s="1">
        <f>MEDIAN('large-batchsize-large-poolsize'!G2:G21)</f>
        <v>47.614999999999995</v>
      </c>
      <c r="I20" s="1">
        <f>_xlfn.STDEV.S('large-batchsize-large-poolsize'!G2:G21)</f>
        <v>83.968383148526215</v>
      </c>
      <c r="J20" s="2">
        <f>(G20-G2)/ABS(G2)%</f>
        <v>29.945753880134575</v>
      </c>
      <c r="K20" s="1">
        <f>_xlfn.T.TEST('large-batchsize-large-poolsize'!G2:G21,control!G2:G21,1,3)</f>
        <v>0.22421489449229987</v>
      </c>
      <c r="M20">
        <f>AVERAGE('large-batchsize-large-poolsize'!M2:M21)</f>
        <v>1.299467211590289</v>
      </c>
      <c r="N20">
        <f>_xlfn.STDEV.S('large-batchsize-large-poolsize'!M2:M21)</f>
        <v>1.2805719471797934</v>
      </c>
      <c r="Q20">
        <f>_xlfn.STDEV.S('large-batchsize-large-poolsize'!A2:A21)</f>
        <v>41.594878910497222</v>
      </c>
    </row>
    <row r="21" spans="1:17" x14ac:dyDescent="0.25">
      <c r="A21" t="s">
        <v>7</v>
      </c>
      <c r="B21">
        <f>AVERAGE('frame-stacking'!A2:A21)</f>
        <v>464.78349999999989</v>
      </c>
      <c r="C21">
        <f>AVERAGE('frame-stacking'!B2:B21)</f>
        <v>12.154</v>
      </c>
      <c r="D21">
        <f>AVERAGE('frame-stacking'!C2:C21)</f>
        <v>2.15</v>
      </c>
      <c r="E21">
        <f>AVERAGE('frame-stacking'!D2:D21)</f>
        <v>57.661500000000004</v>
      </c>
      <c r="G21" s="1">
        <f>AVERAGE('frame-stacking'!G2:G21)</f>
        <v>66.887205203063814</v>
      </c>
      <c r="H21" s="1">
        <f>MEDIAN('frame-stacking'!G2:G21)</f>
        <v>47.495000000000005</v>
      </c>
      <c r="I21" s="1">
        <f>_xlfn.STDEV.S('frame-stacking'!G2:G21)</f>
        <v>79.048205931009406</v>
      </c>
      <c r="J21" s="2">
        <f>(G21-G2)/ABS(G2)%</f>
        <v>2.0065384356081566</v>
      </c>
      <c r="K21" s="1">
        <f>_xlfn.T.TEST('frame-stacking'!G2:G21,control!G2:G21,1,3)</f>
        <v>0.47901720587270386</v>
      </c>
      <c r="M21">
        <f>AVERAGE('frame-stacking'!M2:M21)</f>
        <v>1.0200729774300195</v>
      </c>
      <c r="N21">
        <f>_xlfn.STDEV.S('frame-stacking'!M2:M21)</f>
        <v>1.2055360743470347</v>
      </c>
      <c r="Q21">
        <f>_xlfn.STDEV.S('frame-stacking'!A2:A21)</f>
        <v>41.650474727186491</v>
      </c>
    </row>
    <row r="22" spans="1:17" x14ac:dyDescent="0.25">
      <c r="A22" t="s">
        <v>28</v>
      </c>
      <c r="B22">
        <f>AVERAGE('random-baseline'!A2:A21)</f>
        <v>15.958500000000001</v>
      </c>
      <c r="C22">
        <f>AVERAGE('random-baseline'!B2:B21)</f>
        <v>4.035000000000001</v>
      </c>
      <c r="D22">
        <f>AVERAGE('random-baseline'!C2:C21)</f>
        <v>0</v>
      </c>
      <c r="E22">
        <f>AVERAGE('random-baseline'!D2:D21)</f>
        <v>1.3895000000000002</v>
      </c>
      <c r="G22" s="1">
        <f>AVERAGE('random-baseline'!G2:G21)</f>
        <v>1.3895000000000002</v>
      </c>
      <c r="H22" s="1">
        <f>MEDIAN('random-baseline'!G2:G21)</f>
        <v>0.47</v>
      </c>
      <c r="I22" s="1">
        <f>_xlfn.STDEV.S('random-baseline'!G2:G21)</f>
        <v>2.1461261919046017</v>
      </c>
      <c r="J22" s="2">
        <f>(G22-G2)/ABS(G2)%</f>
        <v>-97.88093874267922</v>
      </c>
      <c r="K22" s="1">
        <f>_xlfn.T.TEST('random-baseline'!G2:G21,control!G2:G21,1,3)</f>
        <v>8.0050981992912907E-4</v>
      </c>
      <c r="M22">
        <f>AVERAGE('random-baseline'!M2:M21)</f>
        <v>2.1190770310045598E-2</v>
      </c>
      <c r="N22">
        <f>_xlfn.STDEV.S('random-baseline'!M2:M21)</f>
        <v>3.2729807260901952E-2</v>
      </c>
      <c r="Q22">
        <f>_xlfn.STDEV.S('random-baseline'!A2:A21)</f>
        <v>10.271431138433382</v>
      </c>
    </row>
    <row r="25" spans="1:17" x14ac:dyDescent="0.3">
      <c r="G25" s="1"/>
      <c r="H25" s="1"/>
      <c r="I25" s="1"/>
      <c r="J25" s="2"/>
    </row>
  </sheetData>
  <conditionalFormatting sqref="K2:K22">
    <cfRule type="cellIs" dxfId="0" priority="4" operator="lessThan">
      <formula>0.05</formula>
    </cfRule>
  </conditionalFormatting>
  <conditionalFormatting sqref="J2:J22 J2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W23"/>
  <sheetViews>
    <sheetView topLeftCell="B1" workbookViewId="0">
      <selection activeCell="K1" sqref="K1:V13"/>
    </sheetView>
  </sheetViews>
  <sheetFormatPr defaultRowHeight="14.4" x14ac:dyDescent="0.3"/>
  <cols>
    <col min="1" max="1" width="27.33203125" bestFit="1" customWidth="1"/>
  </cols>
  <sheetData>
    <row r="1" spans="1:23" x14ac:dyDescent="0.3">
      <c r="B1" t="s">
        <v>28</v>
      </c>
      <c r="C1" t="s">
        <v>7</v>
      </c>
      <c r="D1" t="s">
        <v>38</v>
      </c>
      <c r="E1" t="s">
        <v>30</v>
      </c>
      <c r="F1" t="s">
        <v>15</v>
      </c>
      <c r="G1" t="s">
        <v>14</v>
      </c>
      <c r="H1" t="s">
        <v>9</v>
      </c>
      <c r="I1" t="s">
        <v>29</v>
      </c>
      <c r="J1" t="s">
        <v>18</v>
      </c>
      <c r="K1" t="s">
        <v>10</v>
      </c>
      <c r="L1" t="s">
        <v>11</v>
      </c>
      <c r="M1" t="s">
        <v>17</v>
      </c>
      <c r="N1" t="s">
        <v>16</v>
      </c>
      <c r="O1" t="s">
        <v>6</v>
      </c>
      <c r="P1" t="s">
        <v>8</v>
      </c>
      <c r="Q1" t="s">
        <v>5</v>
      </c>
      <c r="R1" t="s">
        <v>32</v>
      </c>
      <c r="S1" t="s">
        <v>31</v>
      </c>
      <c r="T1" t="s">
        <v>13</v>
      </c>
      <c r="U1" t="s">
        <v>12</v>
      </c>
      <c r="V1" t="s">
        <v>4</v>
      </c>
    </row>
    <row r="2" spans="1:23" x14ac:dyDescent="0.3">
      <c r="A2" t="s">
        <v>4</v>
      </c>
      <c r="B2" s="1">
        <f>_xlfn.T.TEST('random-baseline'!G2:G21,control!G2:G21,1,3)</f>
        <v>8.0050981992912907E-4</v>
      </c>
      <c r="C2" s="1">
        <f>_xlfn.T.TEST('frame-stacking'!G2:G21,control!G2:G21,1,3)</f>
        <v>0.47901720587270386</v>
      </c>
      <c r="D2" s="1">
        <f>_xlfn.T.TEST('large-batchsize-large-poolsize'!G2:G21,control!G2:G21,1,3)</f>
        <v>0.22421489449229987</v>
      </c>
      <c r="E2" s="1">
        <f>_xlfn.T.TEST('large-poolsize'!G2:G21,control!G2:G21,1,3)</f>
        <v>7.5491355727731295E-3</v>
      </c>
      <c r="F2" s="1">
        <f>_xlfn.T.TEST('small-batchsize-small-poolsize'!G2:G21,control!G2:G21,1,3)</f>
        <v>0.19817009827829829</v>
      </c>
      <c r="G2" s="1">
        <f>_xlfn.T.TEST('small-batchsize'!G2:G21,control!G2:G21,1,3)</f>
        <v>0.46337970508833265</v>
      </c>
      <c r="H2" s="1">
        <f>_xlfn.T.TEST('high-iteration'!G2:G21,control!G2:G21,1,3)</f>
        <v>0.4664702006021898</v>
      </c>
      <c r="I2" s="1">
        <f>_xlfn.T.TEST('very-high-iteration-full-batch'!G2:G21,control!G2:G21,1,3)</f>
        <v>0.47142714648759676</v>
      </c>
      <c r="J2" s="1">
        <f>_xlfn.T.TEST('very-high-iteration'!G2:G21,control!G2:G21,1,3)</f>
        <v>0.11720502141396213</v>
      </c>
      <c r="K2" s="1">
        <f>_xlfn.T.TEST('linear-binned-state'!G2:G21,control!G2:G21,1,3)</f>
        <v>3.1000473759068661E-6</v>
      </c>
      <c r="L2" s="1">
        <f>_xlfn.T.TEST('linear-state'!G2:G21,control!G2:G21,1,3)</f>
        <v>4.5201512448514891E-7</v>
      </c>
      <c r="M2" s="1">
        <f>_xlfn.T.TEST('spatial-state'!G2:G21,control!G2:G21,1,3)</f>
        <v>0.19890561523824152</v>
      </c>
      <c r="N2" s="1">
        <f>_xlfn.T.TEST('spatial-linear-state'!G2:G21,control!G2:G21,1,3)</f>
        <v>0.49384568165562992</v>
      </c>
      <c r="O2" s="1">
        <f>_xlfn.T.TEST('filter-count-3'!G2:G21,control!G2:G21,1,3)</f>
        <v>0.41688632419112204</v>
      </c>
      <c r="P2" s="1">
        <f>_xlfn.T.TEST('hierachical-learning'!G2:G21,control!G2:G21,1,3)</f>
        <v>2.2593986342620238E-2</v>
      </c>
      <c r="Q2" s="1">
        <f>_xlfn.T.TEST('early-termination'!G2:G21,control!G2:G21,1,3)</f>
        <v>6.6341823985686499E-2</v>
      </c>
      <c r="R2" s="1">
        <f>_xlfn.T.TEST('human-assistance-low-iteration'!G2:G21,control!G2:G21,1,3)</f>
        <v>1.4913958984923363E-2</v>
      </c>
      <c r="S2" s="1">
        <f>_xlfn.T.TEST('human-assistance'!G2:G21,control!G2:G21,1,3)</f>
        <v>8.0075426205280728E-3</v>
      </c>
      <c r="T2" s="1">
        <f>_xlfn.T.TEST('prio-sweep'!G2:G21,control!G2:G21,1,3)</f>
        <v>4.4726904719266797E-2</v>
      </c>
      <c r="U2" s="1">
        <f>_xlfn.T.TEST('low-iteration'!G2:G21,control!G2:G21,1,3)</f>
        <v>3.2157548385827975E-2</v>
      </c>
      <c r="V2" s="1">
        <f>_xlfn.T.TEST(control!G2:G21,control!G2:G21,1,3)</f>
        <v>0.5</v>
      </c>
      <c r="W2" s="1"/>
    </row>
    <row r="3" spans="1:23" x14ac:dyDescent="0.3">
      <c r="A3" t="s">
        <v>12</v>
      </c>
      <c r="B3" s="1">
        <f>_xlfn.T.TEST('random-baseline'!G2:G21,'low-iteration'!G2:G21,1,3)</f>
        <v>1.7290061016901579E-5</v>
      </c>
      <c r="C3" s="1">
        <f>_xlfn.T.TEST('frame-stacking'!G2:G21,'low-iteration'!G2:G21,1,3)</f>
        <v>3.6080899453009616E-2</v>
      </c>
      <c r="D3" s="1">
        <f>_xlfn.T.TEST('large-batchsize-large-poolsize'!G2:G21,'low-iteration'!G2:G21,1,3)</f>
        <v>0.12450214657823837</v>
      </c>
      <c r="E3" s="1">
        <f>_xlfn.T.TEST('large-poolsize'!G2:G21,'low-iteration'!G2:G21,1,3)</f>
        <v>0.25712350199849388</v>
      </c>
      <c r="F3" s="1">
        <f>_xlfn.T.TEST('small-batchsize-small-poolsize'!G2:G21,'low-iteration'!G2:G21,1,3)</f>
        <v>0.14661614925411978</v>
      </c>
      <c r="G3" s="1">
        <f>_xlfn.T.TEST('small-batchsize'!G2:G21,'low-iteration'!G2:G21,1,3)</f>
        <v>3.9116720987639526E-2</v>
      </c>
      <c r="H3" s="1">
        <f>_xlfn.T.TEST('high-iteration'!G2:G21,'low-iteration'!G2:G21,1,3)</f>
        <v>3.4398124223266269E-2</v>
      </c>
      <c r="I3" s="1">
        <f>_xlfn.T.TEST('very-high-iteration-full-batch'!G2:G21,'low-iteration'!G2:G21,1,3)</f>
        <v>1.9243077348454426E-2</v>
      </c>
      <c r="J3" s="1">
        <f>_xlfn.T.TEST('very-high-iteration'!G2:G21,'low-iteration'!G2:G21,1,3)</f>
        <v>0.23790733875977438</v>
      </c>
      <c r="K3" s="1">
        <f>_xlfn.T.TEST('linear-binned-state'!G2:G21,'low-iteration'!G2:G21,1,3)</f>
        <v>7.0219593255288126E-3</v>
      </c>
      <c r="L3" s="1">
        <f>_xlfn.T.TEST('linear-state'!G2:G21,'low-iteration'!G2:G21,1,3)</f>
        <v>3.119919357843066E-3</v>
      </c>
      <c r="M3" s="1">
        <f>_xlfn.T.TEST('spatial-state'!G2:G21,'low-iteration'!G2:G21,1,3)</f>
        <v>4.9616077132971694E-3</v>
      </c>
      <c r="N3" s="1">
        <f>_xlfn.T.TEST('spatial-linear-state'!G2:G21,'low-iteration'!G2:G21,1,3)</f>
        <v>2.6295878616522658E-2</v>
      </c>
      <c r="O3" s="1">
        <f>_xlfn.T.TEST('filter-count-3'!G2:G21,'low-iteration'!G2:G21,1,3)</f>
        <v>1.4455405606028562E-2</v>
      </c>
      <c r="P3" s="1">
        <f>_xlfn.T.TEST('hierachical-learning'!G2:G21,'low-iteration'!G2:G21,1,3)</f>
        <v>0.40425276266619675</v>
      </c>
      <c r="Q3" s="1">
        <f>_xlfn.T.TEST('early-termination'!G2:G21,'low-iteration'!G2:G21,1,3)</f>
        <v>0.32876414258439368</v>
      </c>
      <c r="R3" s="1">
        <f>_xlfn.T.TEST('human-assistance-low-iteration'!G2:G21,'low-iteration'!G2:G21,1,3)</f>
        <v>0.36472765904724225</v>
      </c>
      <c r="S3" s="1">
        <f>_xlfn.T.TEST('human-assistance'!G2:G21,'low-iteration'!G2:G21,1,3)</f>
        <v>0.24715373383513484</v>
      </c>
      <c r="T3" s="1">
        <f>_xlfn.T.TEST('prio-sweep'!G2:G21,'low-iteration'!G2:G21,1,3)</f>
        <v>5.8534511976959152E-4</v>
      </c>
      <c r="U3" s="1">
        <f>_xlfn.T.TEST('low-iteration'!G2:G21,'low-iteration'!G2:G21,1,3)</f>
        <v>0.5</v>
      </c>
      <c r="V3" s="1"/>
      <c r="W3" s="1"/>
    </row>
    <row r="4" spans="1:23" x14ac:dyDescent="0.3">
      <c r="A4" t="s">
        <v>13</v>
      </c>
      <c r="B4" s="1">
        <f>_xlfn.T.TEST('random-baseline'!G2:G21,'prio-sweep'!G2:G21,1,3)</f>
        <v>4.338213694417762E-2</v>
      </c>
      <c r="C4" s="1">
        <f>_xlfn.T.TEST('frame-stacking'!G2:G21,'prio-sweep'!G2:G21,1,3)</f>
        <v>4.0936583053098524E-2</v>
      </c>
      <c r="D4" s="1">
        <f>_xlfn.T.TEST('large-batchsize-large-poolsize'!G2:G21,'prio-sweep'!G2:G21,1,3)</f>
        <v>8.4929622014843897E-3</v>
      </c>
      <c r="E4" s="1">
        <f>_xlfn.T.TEST('large-poolsize'!G2:G21,'prio-sweep'!G2:G21,1,3)</f>
        <v>1.1260058939280308E-4</v>
      </c>
      <c r="F4" s="1">
        <f>_xlfn.T.TEST('small-batchsize-small-poolsize'!G2:G21,'prio-sweep'!G2:G21,1,3)</f>
        <v>7.2142550959922117E-3</v>
      </c>
      <c r="G4" s="1">
        <f>_xlfn.T.TEST('small-batchsize'!G2:G21,'prio-sweep'!G2:G21,1,3)</f>
        <v>3.8051964319622059E-2</v>
      </c>
      <c r="H4" s="1">
        <f>_xlfn.T.TEST('high-iteration'!G2:G21,'prio-sweep'!G2:G21,1,3)</f>
        <v>3.2466946340532432E-2</v>
      </c>
      <c r="I4" s="1">
        <f>_xlfn.T.TEST('very-high-iteration-full-batch'!G2:G21,'prio-sweep'!G2:G21,1,3)</f>
        <v>2.8379417476982093E-2</v>
      </c>
      <c r="J4" s="1">
        <f>_xlfn.T.TEST('very-high-iteration'!G2:G21,'prio-sweep'!G2:G21,1,3)</f>
        <v>3.1191489788901234E-3</v>
      </c>
      <c r="K4" s="1">
        <f>_xlfn.T.TEST('linear-binned-state'!G2:G21,'prio-sweep'!G2:G21,1,3)</f>
        <v>1.3494015474858846E-9</v>
      </c>
      <c r="L4" s="1">
        <f>_xlfn.T.TEST('linear-state'!G2:G21,'prio-sweep'!G2:G21,1,3)</f>
        <v>3.2426660589967872E-11</v>
      </c>
      <c r="M4" s="1">
        <f>_xlfn.T.TEST('spatial-state'!G2:G21,'prio-sweep'!G2:G21,1,3)</f>
        <v>0.18667828008340792</v>
      </c>
      <c r="N4" s="1">
        <f>_xlfn.T.TEST('spatial-linear-state'!G2:G21,'prio-sweep'!G2:G21,1,3)</f>
        <v>3.5603132626576647E-2</v>
      </c>
      <c r="O4" s="1">
        <f>_xlfn.T.TEST('filter-count-3'!G2:G21,'prio-sweep'!G2:G21,1,3)</f>
        <v>3.7770998546267615E-2</v>
      </c>
      <c r="P4" s="1">
        <f>_xlfn.T.TEST('hierachical-learning'!G2:G21,'prio-sweep'!G2:G21,1,3)</f>
        <v>5.0045469972702318E-4</v>
      </c>
      <c r="Q4" s="1">
        <f>_xlfn.T.TEST('early-termination'!G2:G21,'prio-sweep'!G2:G21,1,3)</f>
        <v>1.1283583667256148E-3</v>
      </c>
      <c r="R4" s="1">
        <f>_xlfn.T.TEST('human-assistance-low-iteration'!G2:G21,'prio-sweep'!G2:G21,1,3)</f>
        <v>2.2726416486593278E-4</v>
      </c>
      <c r="S4" s="1">
        <f>_xlfn.T.TEST('human-assistance'!G2:G21,'prio-sweep'!G2:G21,1,3)</f>
        <v>1.4711684276503409E-4</v>
      </c>
      <c r="T4" s="1">
        <f>_xlfn.T.TEST('prio-sweep'!G2:G21,'prio-sweep'!G2:G21,1,3)</f>
        <v>0.5</v>
      </c>
      <c r="U4" s="1"/>
      <c r="V4" s="1"/>
      <c r="W4" s="1"/>
    </row>
    <row r="5" spans="1:23" x14ac:dyDescent="0.3">
      <c r="A5" t="s">
        <v>31</v>
      </c>
      <c r="B5" s="1">
        <f>_xlfn.T.TEST('random-baseline'!G2:G21,'human-assistance'!G2:G21,1,3)</f>
        <v>7.7569822021217288E-6</v>
      </c>
      <c r="C5" s="1">
        <f>_xlfn.T.TEST('frame-stacking'!G2:G21,'human-assistance'!G2:G21,1,3)</f>
        <v>9.1029107717271983E-3</v>
      </c>
      <c r="D5" s="1">
        <f>_xlfn.T.TEST('large-batchsize-large-poolsize'!G2:G21,'human-assistance'!G2:G21,1,3)</f>
        <v>3.7744572682439817E-2</v>
      </c>
      <c r="E5" s="1">
        <f>_xlfn.T.TEST('large-poolsize'!G2:G21,'human-assistance'!G2:G21,1,3)</f>
        <v>0.4816844848941777</v>
      </c>
      <c r="F5" s="1">
        <f>_xlfn.T.TEST('small-batchsize-small-poolsize'!G2:G21,'human-assistance'!G2:G21,1,3)</f>
        <v>4.6400919431911068E-2</v>
      </c>
      <c r="G5" s="1">
        <f>_xlfn.T.TEST('small-batchsize'!G2:G21,'human-assistance'!G2:G21,1,3)</f>
        <v>9.9591355030903272E-3</v>
      </c>
      <c r="H5" s="1">
        <f>_xlfn.T.TEST('high-iteration'!G2:G21,'human-assistance'!G2:G21,1,3)</f>
        <v>8.4741521529254921E-3</v>
      </c>
      <c r="I5" s="1">
        <f>_xlfn.T.TEST('very-high-iteration-full-batch'!G2:G21,'human-assistance'!G2:G21,1,3)</f>
        <v>4.4233313688285657E-3</v>
      </c>
      <c r="J5" s="1">
        <f>_xlfn.T.TEST('very-high-iteration'!G2:G21,'human-assistance'!G2:G21,1,3)</f>
        <v>8.5919102247730764E-2</v>
      </c>
      <c r="K5" s="1">
        <f>_xlfn.T.TEST('linear-binned-state'!G2:G21,'human-assistance'!G2:G21,1,3)</f>
        <v>5.7581371087518977E-2</v>
      </c>
      <c r="L5" s="1">
        <f>_xlfn.T.TEST('linear-state'!G2:G21,'human-assistance'!G2:G21,1,3)</f>
        <v>3.6163968769540436E-2</v>
      </c>
      <c r="M5" s="1">
        <f>_xlfn.T.TEST('spatial-state'!G2:G21,'human-assistance'!G2:G21,1,3)</f>
        <v>1.142508012117056E-3</v>
      </c>
      <c r="N5" s="1">
        <f>_xlfn.T.TEST('spatial-linear-state'!G2:G21,'human-assistance'!G2:G21,1,3)</f>
        <v>6.2734401607855003E-3</v>
      </c>
      <c r="O5" s="1">
        <f>_xlfn.T.TEST('filter-count-3'!G2:G21,'human-assistance'!G2:G21,1,3)</f>
        <v>3.2983053608400159E-3</v>
      </c>
      <c r="P5" s="1">
        <f>_xlfn.T.TEST('hierachical-learning'!G2:G21,'human-assistance'!G2:G21,1,3)</f>
        <v>0.33394566852204099</v>
      </c>
      <c r="Q5" s="1">
        <f>_xlfn.T.TEST('early-termination'!G2:G21,'human-assistance'!G2:G21,1,3)</f>
        <v>0.13036200316339272</v>
      </c>
      <c r="R5" s="1">
        <f>_xlfn.T.TEST('human-assistance-low-iteration'!G2:G21,'human-assistance'!G2:G21,1,3)</f>
        <v>0.36301964270447373</v>
      </c>
      <c r="S5" s="1">
        <f>_xlfn.T.TEST('human-assistance'!G2:G21,'human-assistance'!G2:G21,1,3)</f>
        <v>0.5</v>
      </c>
      <c r="T5" s="1"/>
      <c r="U5" s="1"/>
      <c r="V5" s="1"/>
      <c r="W5" s="1"/>
    </row>
    <row r="6" spans="1:23" x14ac:dyDescent="0.3">
      <c r="A6" t="s">
        <v>32</v>
      </c>
      <c r="B6" s="1">
        <f>_xlfn.T.TEST('random-baseline'!G2:G21,'human-assistance-low-iteration'!G2:G21,1,3)</f>
        <v>8.04712626173577E-6</v>
      </c>
      <c r="C6" s="1">
        <f>_xlfn.T.TEST('frame-stacking'!G2:G21,'human-assistance-low-iteration'!G2:G21,1,3)</f>
        <v>1.6941987230641602E-2</v>
      </c>
      <c r="D6" s="1">
        <f>_xlfn.T.TEST('large-batchsize-large-poolsize'!G2:G21,'human-assistance-low-iteration'!G2:G21,1,3)</f>
        <v>6.7645043759017962E-2</v>
      </c>
      <c r="E6" s="1">
        <f>_xlfn.T.TEST('large-poolsize'!G2:G21,'human-assistance-low-iteration'!G2:G21,1,3)</f>
        <v>0.37788391561204338</v>
      </c>
      <c r="F6" s="1">
        <f>_xlfn.T.TEST('small-batchsize-small-poolsize'!G2:G21,'human-assistance-low-iteration'!G2:G21,1,3)</f>
        <v>8.201004166861553E-2</v>
      </c>
      <c r="G6" s="1">
        <f>_xlfn.T.TEST('small-batchsize'!G2:G21,'human-assistance-low-iteration'!G2:G21,1,3)</f>
        <v>1.8522431447901121E-2</v>
      </c>
      <c r="H6" s="1">
        <f>_xlfn.T.TEST('high-iteration'!G2:G21,'human-assistance-low-iteration'!G2:G21,1,3)</f>
        <v>1.5823453282645079E-2</v>
      </c>
      <c r="I6" s="1">
        <f>_xlfn.T.TEST('very-high-iteration-full-batch'!G2:G21,'human-assistance-low-iteration'!G2:G21,1,3)</f>
        <v>8.160724726859794E-3</v>
      </c>
      <c r="J6" s="1">
        <f>_xlfn.T.TEST('very-high-iteration'!G2:G21,'human-assistance-low-iteration'!G2:G21,1,3)</f>
        <v>0.14493137132460601</v>
      </c>
      <c r="K6" s="1">
        <f>_xlfn.T.TEST('linear-binned-state'!G2:G21,'human-assistance-low-iteration'!G2:G21,1,3)</f>
        <v>1.9614388440380496E-2</v>
      </c>
      <c r="L6" s="1">
        <f>_xlfn.T.TEST('linear-state'!G2:G21,'human-assistance-low-iteration'!G2:G21,1,3)</f>
        <v>1.0082407572456502E-2</v>
      </c>
      <c r="M6" s="1">
        <f>_xlfn.T.TEST('spatial-state'!G2:G21,'human-assistance-low-iteration'!G2:G21,1,3)</f>
        <v>2.0291529523754747E-3</v>
      </c>
      <c r="N6" s="1">
        <f>_xlfn.T.TEST('spatial-linear-state'!G2:G21,'human-assistance-low-iteration'!G2:G21,1,3)</f>
        <v>1.1698707800311665E-2</v>
      </c>
      <c r="O6" s="1">
        <f>_xlfn.T.TEST('filter-count-3'!G2:G21,'human-assistance-low-iteration'!G2:G21,1,3)</f>
        <v>6.0172563093178703E-3</v>
      </c>
      <c r="P6" s="1">
        <f>_xlfn.T.TEST('hierachical-learning'!G2:G21,'human-assistance-low-iteration'!G2:G21,1,3)</f>
        <v>0.46330671181135796</v>
      </c>
      <c r="Q6" s="1">
        <f>_xlfn.T.TEST('early-termination'!G2:G21,'human-assistance-low-iteration'!G2:G21,1,3)</f>
        <v>0.21229481283101942</v>
      </c>
      <c r="R6" s="1">
        <f>_xlfn.T.TEST('human-assistance-low-iteration'!G2:G21,'human-assistance-low-iteration'!G2:G21,1,3)</f>
        <v>0.5</v>
      </c>
      <c r="S6" s="1"/>
      <c r="T6" s="1"/>
      <c r="U6" s="1"/>
      <c r="V6" s="1"/>
      <c r="W6" s="1"/>
    </row>
    <row r="7" spans="1:23" x14ac:dyDescent="0.3">
      <c r="A7" t="s">
        <v>5</v>
      </c>
      <c r="B7" s="1">
        <f>_xlfn.T.TEST('random-baseline'!G2:G21,'early-termination'!G2:G21,1,3)</f>
        <v>1.8597424358376192E-5</v>
      </c>
      <c r="C7" s="1">
        <f>_xlfn.T.TEST('frame-stacking'!G2:G21,'early-termination'!G2:G21,1,3)</f>
        <v>7.3816652372681188E-2</v>
      </c>
      <c r="D7" s="1">
        <f>_xlfn.T.TEST('large-batchsize-large-poolsize'!G2:G21,'early-termination'!G2:G21,1,3)</f>
        <v>0.22548454280967145</v>
      </c>
      <c r="E7" s="1">
        <f>_xlfn.T.TEST('large-poolsize'!G2:G21,'early-termination'!G2:G21,1,3)</f>
        <v>0.13449074431630492</v>
      </c>
      <c r="F7" s="1">
        <f>_xlfn.T.TEST('small-batchsize-small-poolsize'!G2:G21,'early-termination'!G2:G21,1,3)</f>
        <v>0.25838019828873243</v>
      </c>
      <c r="G7" s="1">
        <f>_xlfn.T.TEST('small-batchsize'!G2:G21,'early-termination'!G2:G21,1,3)</f>
        <v>7.9558969752983516E-2</v>
      </c>
      <c r="H7" s="1">
        <f>_xlfn.T.TEST('high-iteration'!G2:G21,'early-termination'!G2:G21,1,3)</f>
        <v>7.1414387270871349E-2</v>
      </c>
      <c r="I7" s="1">
        <f>_xlfn.T.TEST('very-high-iteration-full-batch'!G2:G21,'early-termination'!G2:G21,1,3)</f>
        <v>4.1799485004816207E-2</v>
      </c>
      <c r="J7" s="1">
        <f>_xlfn.T.TEST('very-high-iteration'!G2:G21,'early-termination'!G2:G21,1,3)</f>
        <v>0.38510134436216859</v>
      </c>
      <c r="K7" s="1">
        <f>_xlfn.T.TEST('linear-binned-state'!G2:G21,'early-termination'!G2:G21,1,3)</f>
        <v>1.0761515459652693E-3</v>
      </c>
      <c r="L7" s="1">
        <f>_xlfn.T.TEST('linear-state'!G2:G21,'early-termination'!G2:G21,1,3)</f>
        <v>3.3248917726636732E-4</v>
      </c>
      <c r="M7" s="1">
        <f>_xlfn.T.TEST('spatial-state'!G2:G21,'early-termination'!G2:G21,1,3)</f>
        <v>1.0634416569388905E-2</v>
      </c>
      <c r="N7" s="1">
        <f>_xlfn.T.TEST('spatial-linear-state'!G2:G21,'early-termination'!G2:G21,1,3)</f>
        <v>5.5735113779533108E-2</v>
      </c>
      <c r="O7" s="1">
        <f>_xlfn.T.TEST('filter-count-3'!G2:G21,'early-termination'!G2:G21,1,3)</f>
        <v>3.1502775423110939E-2</v>
      </c>
      <c r="P7" s="1">
        <f>_xlfn.T.TEST('hierachical-learning'!G2:G21,'early-termination'!G2:G21,1,3)</f>
        <v>0.24977244583500585</v>
      </c>
      <c r="Q7" s="1">
        <f>_xlfn.T.TEST('early-termination'!G2:G21,'early-termination'!G2:G21,1,3)</f>
        <v>0.5</v>
      </c>
      <c r="R7" s="1"/>
      <c r="S7" s="1"/>
      <c r="T7" s="1"/>
      <c r="U7" s="1"/>
      <c r="V7" s="1"/>
      <c r="W7" s="1"/>
    </row>
    <row r="8" spans="1:23" x14ac:dyDescent="0.3">
      <c r="A8" t="s">
        <v>8</v>
      </c>
      <c r="B8" s="1">
        <f>_xlfn.T.TEST('random-baseline'!G2:G21,'hierachical-learning'!G2:G21,1,3)</f>
        <v>2.1542676997855648E-5</v>
      </c>
      <c r="C8" s="1">
        <f>_xlfn.T.TEST('frame-stacking'!G2:G21,'hierachical-learning'!G2:G21,1,3)</f>
        <v>2.5331796120950309E-2</v>
      </c>
      <c r="D8" s="1">
        <f>_xlfn.T.TEST('large-batchsize-large-poolsize'!G2:G21,'hierachical-learning'!G2:G21,1,3)</f>
        <v>8.8896555048660231E-2</v>
      </c>
      <c r="E8" s="1">
        <f>_xlfn.T.TEST('large-poolsize'!G2:G21,'hierachical-learning'!G2:G21,1,3)</f>
        <v>0.34738164448182529</v>
      </c>
      <c r="F8" s="1">
        <f>_xlfn.T.TEST('small-batchsize-small-poolsize'!G2:G21,'hierachical-learning'!G2:G21,1,3)</f>
        <v>0.10556348369915503</v>
      </c>
      <c r="G8" s="1">
        <f>_xlfn.T.TEST('small-batchsize'!G2:G21,'hierachical-learning'!G2:G21,1,3)</f>
        <v>2.7454622381186792E-2</v>
      </c>
      <c r="H8" s="1">
        <f>_xlfn.T.TEST('high-iteration'!G2:G21,'hierachical-learning'!G2:G21,1,3)</f>
        <v>2.4130448151303115E-2</v>
      </c>
      <c r="I8" s="1">
        <f>_xlfn.T.TEST('very-high-iteration-full-batch'!G2:G21,'hierachical-learning'!G2:G21,1,3)</f>
        <v>1.3722271674025135E-2</v>
      </c>
      <c r="J8" s="1">
        <f>_xlfn.T.TEST('very-high-iteration'!G2:G21,'hierachical-learning'!G2:G21,1,3)</f>
        <v>0.17645052507779296</v>
      </c>
      <c r="K8" s="1">
        <f>_xlfn.T.TEST('linear-binned-state'!G2:G21,'hierachical-learning'!G2:G21,1,3)</f>
        <v>1.8786870436186872E-2</v>
      </c>
      <c r="L8" s="1">
        <f>_xlfn.T.TEST('linear-state'!G2:G21,'hierachical-learning'!G2:G21,1,3)</f>
        <v>1.0113972284484176E-2</v>
      </c>
      <c r="M8" s="1">
        <f>_xlfn.T.TEST('spatial-state'!G2:G21,'hierachical-learning'!G2:G21,1,3)</f>
        <v>3.6927559248869715E-3</v>
      </c>
      <c r="N8" s="1">
        <f>_xlfn.T.TEST('spatial-linear-state'!G2:G21,'hierachical-learning'!G2:G21,1,3)</f>
        <v>1.8524578365329156E-2</v>
      </c>
      <c r="O8" s="1">
        <f>_xlfn.T.TEST('filter-count-3'!G2:G21,'hierachical-learning'!G2:G21,1,3)</f>
        <v>1.0429038765476994E-2</v>
      </c>
      <c r="P8" s="1">
        <f>_xlfn.T.TEST('hierachical-learning'!G2:G21,'hierachical-learning'!G2:G21,1,3)</f>
        <v>0.5</v>
      </c>
      <c r="Q8" s="1"/>
      <c r="R8" s="1"/>
      <c r="S8" s="1"/>
      <c r="T8" s="1"/>
      <c r="U8" s="1"/>
      <c r="V8" s="1"/>
      <c r="W8" s="1"/>
    </row>
    <row r="9" spans="1:23" x14ac:dyDescent="0.3">
      <c r="A9" t="s">
        <v>6</v>
      </c>
      <c r="B9" s="1">
        <f>_xlfn.T.TEST('random-baseline'!G2:G21,'filter-count-3'!G2:G21,1,3)</f>
        <v>7.6408859323898569E-5</v>
      </c>
      <c r="C9" s="1">
        <f>_xlfn.T.TEST('frame-stacking'!G2:G21,'filter-count-3'!G2:G21,1,3)</f>
        <v>0.39430923361119985</v>
      </c>
      <c r="D9" s="1">
        <f>_xlfn.T.TEST('large-batchsize-large-poolsize'!G2:G21,'filter-count-3'!G2:G21,1,3)</f>
        <v>0.14650922930443086</v>
      </c>
      <c r="E9" s="1">
        <f>_xlfn.T.TEST('large-poolsize'!G2:G21,'filter-count-3'!G2:G21,1,3)</f>
        <v>2.9020132823135811E-3</v>
      </c>
      <c r="F9" s="1">
        <f>_xlfn.T.TEST('small-batchsize-small-poolsize'!G2:G21,'filter-count-3'!G2:G21,1,3)</f>
        <v>0.12621119276405837</v>
      </c>
      <c r="G9" s="1">
        <f>_xlfn.T.TEST('small-batchsize'!G2:G21,'filter-count-3'!G2:G21,1,3)</f>
        <v>0.3775692634283429</v>
      </c>
      <c r="H9" s="1">
        <f>_xlfn.T.TEST('high-iteration'!G2:G21,'filter-count-3'!G2:G21,1,3)</f>
        <v>0.37633508759156403</v>
      </c>
      <c r="I9" s="1">
        <f>_xlfn.T.TEST('very-high-iteration-full-batch'!G2:G21,'filter-count-3'!G2:G21,1,3)</f>
        <v>0.4349019162033676</v>
      </c>
      <c r="J9" s="1">
        <f>_xlfn.T.TEST('very-high-iteration'!G2:G21,'filter-count-3'!G2:G21,1,3)</f>
        <v>6.5667685435665091E-2</v>
      </c>
      <c r="K9" s="1">
        <f>_xlfn.T.TEST('linear-binned-state'!G2:G21,'filter-count-3'!G2:G21,1,3)</f>
        <v>1.1243585793909426E-7</v>
      </c>
      <c r="L9" s="1">
        <f>_xlfn.T.TEST('linear-state'!G2:G21,'filter-count-3'!G2:G21,1,3)</f>
        <v>2.2320082523547188E-9</v>
      </c>
      <c r="M9" s="1">
        <f>_xlfn.T.TEST('spatial-state'!G2:G21,'filter-count-3'!G2:G21,1,3)</f>
        <v>0.22330079139523673</v>
      </c>
      <c r="N9" s="1">
        <f>_xlfn.T.TEST('spatial-linear-state'!G2:G21,'filter-count-3'!G2:G21,1,3)</f>
        <v>0.41731969687080805</v>
      </c>
      <c r="O9" s="1">
        <f>_xlfn.T.TEST('filter-count-3'!G2:G21,'filter-count-3'!G2:G21,1,3)</f>
        <v>0.5</v>
      </c>
      <c r="P9" s="1"/>
      <c r="Q9" s="1"/>
      <c r="R9" s="1"/>
      <c r="S9" s="1"/>
      <c r="T9" s="1"/>
      <c r="U9" s="1"/>
      <c r="V9" s="1"/>
      <c r="W9" s="1"/>
    </row>
    <row r="10" spans="1:23" x14ac:dyDescent="0.3">
      <c r="A10" t="s">
        <v>16</v>
      </c>
      <c r="B10" s="1">
        <f>_xlfn.T.TEST('random-baseline'!G2:G21,'spatial-linear-state'!G2:G21,1,3)</f>
        <v>2.8186971606006825E-4</v>
      </c>
      <c r="C10" s="1">
        <f>_xlfn.T.TEST('frame-stacking'!G2:G21,'spatial-linear-state'!G2:G21,1,3)</f>
        <v>0.47169560408429578</v>
      </c>
      <c r="D10" s="1">
        <f>_xlfn.T.TEST('large-batchsize-large-poolsize'!G2:G21,'spatial-linear-state'!G2:G21,1,3)</f>
        <v>0.20798516831041275</v>
      </c>
      <c r="E10" s="1">
        <f>_xlfn.T.TEST('large-poolsize'!G2:G21,'spatial-linear-state'!G2:G21,1,3)</f>
        <v>5.786277929236739E-3</v>
      </c>
      <c r="F10" s="1">
        <f>_xlfn.T.TEST('small-batchsize-small-poolsize'!G2:G21,'spatial-linear-state'!G2:G21,1,3)</f>
        <v>0.18232298158500282</v>
      </c>
      <c r="G10" s="1">
        <f>_xlfn.T.TEST('small-batchsize'!G2:G21,'spatial-linear-state'!G2:G21,1,3)</f>
        <v>0.45521156294945592</v>
      </c>
      <c r="H10" s="1">
        <f>_xlfn.T.TEST('high-iteration'!G2:G21,'spatial-linear-state'!G2:G21,1,3)</f>
        <v>0.45802911338756214</v>
      </c>
      <c r="I10" s="1">
        <f>_xlfn.T.TEST('very-high-iteration-full-batch'!G2:G21,'spatial-linear-state'!G2:G21,1,3)</f>
        <v>0.47627231226964972</v>
      </c>
      <c r="J10" s="1">
        <f>_xlfn.T.TEST('very-high-iteration'!G2:G21,'spatial-linear-state'!G2:G21,1,3)</f>
        <v>0.10365139795207322</v>
      </c>
      <c r="K10" s="1">
        <f>_xlfn.T.TEST('linear-binned-state'!G2:G21,'spatial-linear-state'!G2:G21,1,3)</f>
        <v>9.4358216817807911E-7</v>
      </c>
      <c r="L10" s="1">
        <f>_xlfn.T.TEST('linear-state'!G2:G21,'spatial-linear-state'!G2:G21,1,3)</f>
        <v>7.2616003180098995E-8</v>
      </c>
      <c r="M10" s="1">
        <f>_xlfn.T.TEST('spatial-state'!G2:G21,'spatial-linear-state'!G2:G21,1,3)</f>
        <v>0.18806886374654891</v>
      </c>
      <c r="N10" s="1">
        <f>_xlfn.T.TEST('spatial-linear-state'!G2:G21,'spatial-linear-state'!G2:G21,1,3)</f>
        <v>0.5</v>
      </c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3">
      <c r="A11" t="s">
        <v>17</v>
      </c>
      <c r="B11" s="1">
        <f>_xlfn.T.TEST('random-baseline'!G2:G21,'spatial-state'!G2:G21,1,3)</f>
        <v>5.5778107964555854E-3</v>
      </c>
      <c r="C11" s="1">
        <f>_xlfn.T.TEST('frame-stacking'!G2:G21,'spatial-state'!G2:G21,1,3)</f>
        <v>0.18564404571953386</v>
      </c>
      <c r="D11" s="1">
        <f>_xlfn.T.TEST('large-batchsize-large-poolsize'!G2:G21,'spatial-state'!G2:G21,1,3)</f>
        <v>5.657639218662875E-2</v>
      </c>
      <c r="E11" s="1">
        <f>_xlfn.T.TEST('large-poolsize'!G2:G21,'spatial-state'!G2:G21,1,3)</f>
        <v>9.8029517299482263E-4</v>
      </c>
      <c r="F11" s="1">
        <f>_xlfn.T.TEST('small-batchsize-small-poolsize'!G2:G21,'spatial-state'!G2:G21,1,3)</f>
        <v>4.8337298977098417E-2</v>
      </c>
      <c r="G11" s="1">
        <f>_xlfn.T.TEST('small-batchsize'!G2:G21,'spatial-state'!G2:G21,1,3)</f>
        <v>0.17578430226833724</v>
      </c>
      <c r="H11" s="1">
        <f>_xlfn.T.TEST('high-iteration'!G2:G21,'spatial-state'!G2:G21,1,3)</f>
        <v>0.16847658579844516</v>
      </c>
      <c r="I11" s="1">
        <f>_xlfn.T.TEST('very-high-iteration-full-batch'!G2:G21,'spatial-state'!G2:G21,1,3)</f>
        <v>0.18457958796404472</v>
      </c>
      <c r="J11" s="1">
        <f>_xlfn.T.TEST('very-high-iteration'!G2:G21,'spatial-state'!G2:G21,1,3)</f>
        <v>2.3731968353453346E-2</v>
      </c>
      <c r="K11" s="1">
        <f>_xlfn.T.TEST('linear-binned-state'!G2:G21,'spatial-state'!G2:G21,1,3)</f>
        <v>6.5369399198877168E-8</v>
      </c>
      <c r="L11" s="1">
        <f>_xlfn.T.TEST('linear-state'!G2:G21,'spatial-state'!G2:G21,1,3)</f>
        <v>4.5943952446770042E-9</v>
      </c>
      <c r="M11" s="1">
        <f>_xlfn.T.TEST('spatial-state'!G2:G21,'spatial-state'!G2:G21,1,3)</f>
        <v>0.5</v>
      </c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3">
      <c r="A12" t="s">
        <v>11</v>
      </c>
      <c r="B12" s="1">
        <f>_xlfn.T.TEST('random-baseline'!G2:G21,'linear-state'!G2:G21,1,3)</f>
        <v>7.9277719689632775E-13</v>
      </c>
      <c r="C12" s="1">
        <f>_xlfn.T.TEST('frame-stacking'!G2:G21,'linear-state'!G2:G21,1,3)</f>
        <v>6.5060774478482176E-7</v>
      </c>
      <c r="D12" s="1">
        <f>_xlfn.T.TEST('large-batchsize-large-poolsize'!G2:G21,'linear-state'!G2:G21,1,3)</f>
        <v>1.6620174900553367E-5</v>
      </c>
      <c r="E12" s="1">
        <f>_xlfn.T.TEST('large-poolsize'!G2:G21,'linear-state'!G2:G21,1,3)</f>
        <v>2.7786440690138782E-2</v>
      </c>
      <c r="F12" s="1">
        <f>_xlfn.T.TEST('small-batchsize-small-poolsize'!G2:G21,'linear-state'!G2:G21,1,3)</f>
        <v>3.1412707166285176E-5</v>
      </c>
      <c r="G12" s="1">
        <f>_xlfn.T.TEST('small-batchsize'!G2:G21,'linear-state'!G2:G21,1,3)</f>
        <v>8.1866742371806189E-7</v>
      </c>
      <c r="H12" s="1">
        <f>_xlfn.T.TEST('high-iteration'!G2:G21,'linear-state'!G2:G21,1,3)</f>
        <v>2.593177095886542E-7</v>
      </c>
      <c r="I12" s="1">
        <f>_xlfn.T.TEST('very-high-iteration-full-batch'!G2:G21,'linear-state'!G2:G21,1,3)</f>
        <v>5.1221470031749715E-9</v>
      </c>
      <c r="J12" s="1">
        <f>_xlfn.T.TEST('very-high-iteration'!G2:G21,'linear-state'!G2:G21,1,3)</f>
        <v>1.4920494471293223E-4</v>
      </c>
      <c r="K12" s="1">
        <f>_xlfn.T.TEST('linear-binned-state'!G2:G21,'linear-state'!G2:G21,1,3)</f>
        <v>0.42255035126998264</v>
      </c>
      <c r="L12" s="1">
        <f>_xlfn.T.TEST('linear-state'!G2:G21,'linear-state'!G2:G21,1,3)</f>
        <v>0.5</v>
      </c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3">
      <c r="A13" t="s">
        <v>10</v>
      </c>
      <c r="B13" s="1">
        <f>_xlfn.T.TEST('random-baseline'!G2:G21,'linear-binned-state'!G2:G21,1,3)</f>
        <v>1.2583326804538776E-10</v>
      </c>
      <c r="C13" s="1">
        <f>_xlfn.T.TEST('frame-stacking'!G2:G21,'linear-binned-state'!G2:G21,1,3)</f>
        <v>4.1772940829125282E-6</v>
      </c>
      <c r="D13" s="1">
        <f>_xlfn.T.TEST('large-batchsize-large-poolsize'!G2:G21,'linear-binned-state'!G2:G21,1,3)</f>
        <v>7.3835428741228881E-5</v>
      </c>
      <c r="E13" s="1">
        <f>_xlfn.T.TEST('large-poolsize'!G2:G21,'linear-binned-state'!G2:G21,1,3)</f>
        <v>4.6791217555463879E-2</v>
      </c>
      <c r="F13" s="1">
        <f>_xlfn.T.TEST('small-batchsize-small-poolsize'!G2:G21,'linear-binned-state'!G2:G21,1,3)</f>
        <v>1.2548024493271376E-4</v>
      </c>
      <c r="G13" s="1">
        <f>_xlfn.T.TEST('small-batchsize'!G2:G21,'linear-binned-state'!G2:G21,1,3)</f>
        <v>5.0736369942913227E-6</v>
      </c>
      <c r="H13" s="1">
        <f>_xlfn.T.TEST('high-iteration'!G2:G21,'linear-binned-state'!G2:G21,1,3)</f>
        <v>2.3315103754620062E-6</v>
      </c>
      <c r="I13" s="1">
        <f>_xlfn.T.TEST('very-high-iteration-full-batch'!G2:G21,'linear-binned-state'!G2:G21,1,3)</f>
        <v>2.0612029283496722E-7</v>
      </c>
      <c r="J13" s="1">
        <f>_xlfn.T.TEST('very-high-iteration'!G2:G21,'linear-binned-state'!G2:G21,1,3)</f>
        <v>4.9646059392070374E-4</v>
      </c>
      <c r="K13" s="1">
        <f>_xlfn.T.TEST('linear-binned-state'!G2:G21,'linear-binned-state'!G2:G21,1,3)</f>
        <v>0.5</v>
      </c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3">
      <c r="A14" t="s">
        <v>18</v>
      </c>
      <c r="B14" s="1">
        <f>_xlfn.T.TEST('random-baseline'!G2:G21,'very-high-iteration'!G2:G21,1,3)</f>
        <v>5.9794074145264869E-5</v>
      </c>
      <c r="C14" s="1">
        <f>_xlfn.T.TEST('frame-stacking'!G2:G21,'very-high-iteration'!G2:G21,1,3)</f>
        <v>0.12819019212049612</v>
      </c>
      <c r="D14" s="1">
        <f>_xlfn.T.TEST('large-batchsize-large-poolsize'!G2:G21,'very-high-iteration'!G2:G21,1,3)</f>
        <v>0.32650558485096576</v>
      </c>
      <c r="E14" s="1">
        <f>_xlfn.T.TEST('large-poolsize'!G2:G21,'very-high-iteration'!G2:G21,1,3)</f>
        <v>8.7910989338008103E-2</v>
      </c>
      <c r="F14" s="1">
        <f>_xlfn.T.TEST('small-batchsize-small-poolsize'!G2:G21,'very-high-iteration'!G2:G21,1,3)</f>
        <v>0.36372682062261125</v>
      </c>
      <c r="G14" s="1">
        <f>_xlfn.T.TEST('small-batchsize'!G2:G21,'very-high-iteration'!G2:G21,1,3)</f>
        <v>0.13656375137478924</v>
      </c>
      <c r="H14" s="1">
        <f>_xlfn.T.TEST('high-iteration'!G2:G21,'very-high-iteration'!G2:G21,1,3)</f>
        <v>0.12665341919526663</v>
      </c>
      <c r="I14" s="1">
        <f>_xlfn.T.TEST('very-high-iteration-full-batch'!G2:G21,'very-high-iteration'!G2:G21,1,3)</f>
        <v>8.3669759341549799E-2</v>
      </c>
      <c r="J14" s="1">
        <f>_xlfn.T.TEST('very-high-iteration'!G2:G21,'very-high-iteration'!G2:G21,1,3)</f>
        <v>0.5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3">
      <c r="A15" t="s">
        <v>29</v>
      </c>
      <c r="B15" s="1">
        <f>_xlfn.T.TEST('random-baseline'!G2:G21,'very-high-iteration-full-batch'!G2:G21,1,3)</f>
        <v>5.7980709859126237E-5</v>
      </c>
      <c r="C15" s="1">
        <f>_xlfn.T.TEST('frame-stacking'!G2:G21,'very-high-iteration-full-batch'!G2:G21,1,3)</f>
        <v>0.4480145367368728</v>
      </c>
      <c r="D15" s="1">
        <f>_xlfn.T.TEST('large-batchsize-large-poolsize'!G2:G21,'very-high-iteration-full-batch'!G2:G21,1,3)</f>
        <v>0.17961720808808629</v>
      </c>
      <c r="E15" s="1">
        <f>_xlfn.T.TEST('large-poolsize'!G2:G21,'very-high-iteration-full-batch'!G2:G21,1,3)</f>
        <v>3.9543971213533034E-3</v>
      </c>
      <c r="F15" s="1">
        <f>_xlfn.T.TEST('small-batchsize-small-poolsize'!G2:G21,'very-high-iteration-full-batch'!G2:G21,1,3)</f>
        <v>0.15567936290282919</v>
      </c>
      <c r="G15" s="1">
        <f>_xlfn.T.TEST('small-batchsize'!G2:G21,'very-high-iteration-full-batch'!G2:G21,1,3)</f>
        <v>0.43063108957478852</v>
      </c>
      <c r="H15" s="1">
        <f>_xlfn.T.TEST('high-iteration'!G2:G21,'very-high-iteration-full-batch'!G2:G21,1,3)</f>
        <v>0.43220844018214977</v>
      </c>
      <c r="I15" s="1">
        <f>_xlfn.T.TEST('very-high-iteration-full-batch'!G2:G21,'very-high-iteration-full-batch'!G2:G21,1,3)</f>
        <v>0.5</v>
      </c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3">
      <c r="A16" t="s">
        <v>9</v>
      </c>
      <c r="B16" s="1">
        <f>_xlfn.T.TEST('random-baseline'!G2:G21,'high-iteration'!G2:G21,1,3)</f>
        <v>3.6067930228802809E-4</v>
      </c>
      <c r="C16" s="1">
        <f>_xlfn.T.TEST('frame-stacking'!G2:G21,'high-iteration'!G2:G21,1,3)</f>
        <v>0.48825763855687371</v>
      </c>
      <c r="D16" s="1">
        <f>_xlfn.T.TEST('large-batchsize-large-poolsize'!G2:G21,'high-iteration'!G2:G21,1,3)</f>
        <v>0.2424768217489745</v>
      </c>
      <c r="E16" s="1">
        <f>_xlfn.T.TEST('large-poolsize'!G2:G21,'high-iteration'!G2:G21,1,3)</f>
        <v>7.9607060624454738E-3</v>
      </c>
      <c r="F16" s="1">
        <f>_xlfn.T.TEST('small-batchsize-small-poolsize'!G2:G21,'high-iteration'!G2:G21,1,3)</f>
        <v>0.21429775533092038</v>
      </c>
      <c r="G16" s="1">
        <f>_xlfn.T.TEST('small-batchsize'!G2:G21,'high-iteration'!G2:G21,1,3)</f>
        <v>0.49549891676276553</v>
      </c>
      <c r="H16" s="1">
        <f>_xlfn.T.TEST('high-iteration'!G2:G21,'high-iteration'!G2:G21,1,3)</f>
        <v>0.5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3">
      <c r="A17" t="s">
        <v>14</v>
      </c>
      <c r="B17" s="1">
        <f>_xlfn.T.TEST('random-baseline'!G2:G21,'small-batchsize'!G2:G21,1,3)</f>
        <v>6.9958383676412591E-4</v>
      </c>
      <c r="C17" s="1">
        <f>_xlfn.T.TEST('frame-stacking'!G2:G21,'small-batchsize'!G2:G21,1,3)</f>
        <v>0.48435118842858116</v>
      </c>
      <c r="D17" s="1">
        <f>_xlfn.T.TEST('large-batchsize-large-poolsize'!G2:G21,'small-batchsize'!G2:G21,1,3)</f>
        <v>0.25348121442711713</v>
      </c>
      <c r="E17" s="1">
        <f>_xlfn.T.TEST('large-poolsize'!G2:G21,'small-batchsize'!G2:G21,1,3)</f>
        <v>9.4832628326334892E-3</v>
      </c>
      <c r="F17" s="1">
        <f>_xlfn.T.TEST('small-batchsize-small-poolsize'!G2:G21,'small-batchsize'!G2:G21,1,3)</f>
        <v>0.22523868201848973</v>
      </c>
      <c r="G17" s="1">
        <f>_xlfn.T.TEST('small-batchsize'!G2:G21,'small-batchsize'!G2:G21,1,3)</f>
        <v>0.5</v>
      </c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3">
      <c r="A18" t="s">
        <v>15</v>
      </c>
      <c r="B18" s="1">
        <f>_xlfn.T.TEST('random-baseline'!G2:G21,'small-batchsize-small-poolsize'!G2:G21,1,3)</f>
        <v>1.2654458624542181E-4</v>
      </c>
      <c r="C18" s="1">
        <f>_xlfn.T.TEST('frame-stacking'!G2:G21,'small-batchsize-small-poolsize'!G2:G21,1,3)</f>
        <v>0.21358096686591416</v>
      </c>
      <c r="D18" s="1">
        <f>_xlfn.T.TEST('large-batchsize-large-poolsize'!G2:G21,'small-batchsize-small-poolsize'!G2:G21,1,3)</f>
        <v>0.46065493323258722</v>
      </c>
      <c r="E18" s="1">
        <f>_xlfn.T.TEST('large-poolsize'!G2:G21,'small-batchsize-small-poolsize'!G2:G21,1,3)</f>
        <v>4.6698901819353461E-2</v>
      </c>
      <c r="F18" s="1">
        <f>_xlfn.T.TEST('small-batchsize-small-poolsize'!G2:G21,'small-batchsize-small-poolsize'!G2:G21,1,3)</f>
        <v>0.5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3">
      <c r="A19" t="s">
        <v>30</v>
      </c>
      <c r="B19" s="1">
        <f>_xlfn.T.TEST('random-baseline'!G2:G21,'large-poolsize'!G2:G21,1,3)</f>
        <v>5.089362887965004E-6</v>
      </c>
      <c r="C19" s="1">
        <f>_xlfn.T.TEST('frame-stacking'!G2:G21,'large-poolsize'!G2:G21,1,3)</f>
        <v>8.6338816725738347E-3</v>
      </c>
      <c r="D19" s="1">
        <f>_xlfn.T.TEST('large-batchsize-large-poolsize'!G2:G21,'large-poolsize'!G2:G21,1,3)</f>
        <v>3.7718392568778701E-2</v>
      </c>
      <c r="E19" s="1">
        <f>_xlfn.T.TEST('large-poolsize'!G2:G21,'large-poolsize'!G2:G21,1,3)</f>
        <v>0.5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3">
      <c r="A20" t="s">
        <v>38</v>
      </c>
      <c r="B20" s="1">
        <f>_xlfn.T.TEST('random-baseline'!G2:G21,'large-batchsize-large-poolsize'!G2:G21,1,3)</f>
        <v>1.3305501511721657E-4</v>
      </c>
      <c r="C20" s="1">
        <f>_xlfn.T.TEST('frame-stacking'!G2:G21,'large-batchsize-large-poolsize'!G2:G21,1,3)</f>
        <v>0.24089118730453596</v>
      </c>
      <c r="D20" s="1">
        <f>_xlfn.T.TEST('large-batchsize-large-poolsize'!G2:G21,'large-batchsize-large-poolsize'!G2:G21,1,3)</f>
        <v>0.5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3">
      <c r="A21" t="s">
        <v>7</v>
      </c>
      <c r="B21" s="1">
        <f>_xlfn.T.TEST('random-baseline'!G2:G21,'frame-stacking'!G2:G21,1,3)</f>
        <v>7.5118044849832968E-4</v>
      </c>
      <c r="C21" s="1">
        <f>_xlfn.T.TEST('frame-stacking'!G2:G21,'frame-stacking'!G2:G21,1,3)</f>
        <v>0.5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3">
      <c r="A22" t="s">
        <v>28</v>
      </c>
      <c r="B22" s="1">
        <f>_xlfn.T.TEST('random-baseline'!G2:G21,'random-baseline'!G2:G21,1,3)</f>
        <v>0.5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3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I1" t="s">
        <v>27</v>
      </c>
    </row>
    <row r="2" spans="1:13" x14ac:dyDescent="0.25">
      <c r="A2">
        <v>269.60000000000002</v>
      </c>
      <c r="B2">
        <v>7.3</v>
      </c>
      <c r="C2">
        <v>1</v>
      </c>
      <c r="D2">
        <v>47.61</v>
      </c>
      <c r="F2" t="b">
        <f t="shared" ref="F2:F21" si="0">(D2&gt;165)</f>
        <v>0</v>
      </c>
      <c r="G2">
        <f t="shared" ref="G2:G21" si="1">IF(F2,D2+((D2/B2)*(35-B2)),D2)</f>
        <v>47.61</v>
      </c>
      <c r="I2">
        <f>_xlfn.T.TEST(G2:G21,'spatial-state'!G2:G21,1,3)</f>
        <v>0.19890561523824152</v>
      </c>
      <c r="K2" s="2"/>
      <c r="M2">
        <f t="shared" ref="M2:M21" si="2">G2/65.571</f>
        <v>0.72608317701422886</v>
      </c>
    </row>
    <row r="3" spans="1:13" x14ac:dyDescent="0.25">
      <c r="A3">
        <v>235.07</v>
      </c>
      <c r="B3">
        <v>1.5</v>
      </c>
      <c r="C3">
        <v>0</v>
      </c>
      <c r="D3">
        <v>0.01</v>
      </c>
      <c r="F3" t="b">
        <f t="shared" si="0"/>
        <v>0</v>
      </c>
      <c r="G3">
        <f t="shared" si="1"/>
        <v>0.01</v>
      </c>
      <c r="K3" s="2"/>
      <c r="M3">
        <f t="shared" si="2"/>
        <v>1.5250644339723354E-4</v>
      </c>
    </row>
    <row r="4" spans="1:13" x14ac:dyDescent="0.25">
      <c r="A4">
        <v>199.56</v>
      </c>
      <c r="B4">
        <v>25.58</v>
      </c>
      <c r="C4">
        <v>5</v>
      </c>
      <c r="D4">
        <v>167.09</v>
      </c>
      <c r="F4" t="b">
        <f t="shared" si="0"/>
        <v>1</v>
      </c>
      <c r="G4">
        <f t="shared" si="1"/>
        <v>228.62197028928853</v>
      </c>
      <c r="K4" s="2"/>
      <c r="M4">
        <f t="shared" si="2"/>
        <v>3.4866323571287388</v>
      </c>
    </row>
    <row r="5" spans="1:13" x14ac:dyDescent="0.25">
      <c r="A5">
        <v>213.34</v>
      </c>
      <c r="B5">
        <v>31.86</v>
      </c>
      <c r="C5">
        <v>8</v>
      </c>
      <c r="D5">
        <v>166.91</v>
      </c>
      <c r="F5" t="b">
        <f t="shared" si="0"/>
        <v>1</v>
      </c>
      <c r="G5">
        <f t="shared" si="1"/>
        <v>183.36001255492781</v>
      </c>
      <c r="K5" s="2"/>
      <c r="M5">
        <f t="shared" si="2"/>
        <v>2.7963583376024128</v>
      </c>
    </row>
    <row r="6" spans="1:13" x14ac:dyDescent="0.25">
      <c r="A6">
        <v>262.62</v>
      </c>
      <c r="B6">
        <v>5.36</v>
      </c>
      <c r="C6">
        <v>1</v>
      </c>
      <c r="D6">
        <v>18.59</v>
      </c>
      <c r="F6" t="b">
        <f t="shared" si="0"/>
        <v>0</v>
      </c>
      <c r="G6">
        <f t="shared" si="1"/>
        <v>18.59</v>
      </c>
      <c r="K6" s="2"/>
      <c r="M6">
        <f t="shared" si="2"/>
        <v>0.28350947827545714</v>
      </c>
    </row>
    <row r="7" spans="1:13" x14ac:dyDescent="0.25">
      <c r="A7">
        <v>210.86</v>
      </c>
      <c r="B7">
        <v>9.5399999999999991</v>
      </c>
      <c r="C7">
        <v>2</v>
      </c>
      <c r="D7">
        <v>47.64</v>
      </c>
      <c r="F7" t="b">
        <f t="shared" si="0"/>
        <v>0</v>
      </c>
      <c r="G7">
        <f t="shared" si="1"/>
        <v>47.64</v>
      </c>
      <c r="K7" s="2"/>
      <c r="M7">
        <f t="shared" si="2"/>
        <v>0.72654069634442053</v>
      </c>
    </row>
    <row r="8" spans="1:13" x14ac:dyDescent="0.25">
      <c r="A8">
        <v>243.05</v>
      </c>
      <c r="B8">
        <v>9.9600000000000009</v>
      </c>
      <c r="C8">
        <v>2</v>
      </c>
      <c r="D8">
        <v>47.57</v>
      </c>
      <c r="F8" t="b">
        <f t="shared" si="0"/>
        <v>0</v>
      </c>
      <c r="G8">
        <f t="shared" si="1"/>
        <v>47.57</v>
      </c>
      <c r="K8" s="2"/>
      <c r="M8">
        <f t="shared" si="2"/>
        <v>0.72547315124063994</v>
      </c>
    </row>
    <row r="9" spans="1:13" x14ac:dyDescent="0.25">
      <c r="A9">
        <v>239.83</v>
      </c>
      <c r="B9">
        <v>5.22</v>
      </c>
      <c r="C9">
        <v>1</v>
      </c>
      <c r="D9">
        <v>18.59</v>
      </c>
      <c r="F9" t="b">
        <f t="shared" si="0"/>
        <v>0</v>
      </c>
      <c r="G9">
        <f t="shared" si="1"/>
        <v>18.59</v>
      </c>
      <c r="K9" s="2"/>
      <c r="M9">
        <f t="shared" si="2"/>
        <v>0.28350947827545714</v>
      </c>
    </row>
    <row r="10" spans="1:13" x14ac:dyDescent="0.25">
      <c r="A10">
        <v>244.52</v>
      </c>
      <c r="B10">
        <v>30.9</v>
      </c>
      <c r="C10">
        <v>7</v>
      </c>
      <c r="D10">
        <v>166.97</v>
      </c>
      <c r="F10" t="b">
        <f t="shared" si="0"/>
        <v>1</v>
      </c>
      <c r="G10">
        <f t="shared" si="1"/>
        <v>189.12459546925567</v>
      </c>
      <c r="K10" s="2"/>
      <c r="M10">
        <f t="shared" si="2"/>
        <v>2.884271941395673</v>
      </c>
    </row>
    <row r="11" spans="1:13" x14ac:dyDescent="0.25">
      <c r="A11">
        <v>244.5</v>
      </c>
      <c r="B11">
        <v>10.74</v>
      </c>
      <c r="C11">
        <v>2</v>
      </c>
      <c r="D11">
        <v>47.53</v>
      </c>
      <c r="F11" t="b">
        <f t="shared" si="0"/>
        <v>0</v>
      </c>
      <c r="G11">
        <f t="shared" si="1"/>
        <v>47.53</v>
      </c>
      <c r="K11" s="2"/>
      <c r="M11">
        <f t="shared" si="2"/>
        <v>0.72486312546705101</v>
      </c>
    </row>
    <row r="12" spans="1:13" x14ac:dyDescent="0.25">
      <c r="A12">
        <v>221.78</v>
      </c>
      <c r="B12">
        <v>2</v>
      </c>
      <c r="C12">
        <v>0</v>
      </c>
      <c r="D12">
        <v>0</v>
      </c>
      <c r="F12" t="b">
        <f t="shared" si="0"/>
        <v>0</v>
      </c>
      <c r="G12">
        <f t="shared" si="1"/>
        <v>0</v>
      </c>
      <c r="K12" s="2"/>
      <c r="M12">
        <f t="shared" si="2"/>
        <v>0</v>
      </c>
    </row>
    <row r="13" spans="1:13" x14ac:dyDescent="0.25">
      <c r="A13">
        <v>237.12</v>
      </c>
      <c r="B13">
        <v>9.26</v>
      </c>
      <c r="C13">
        <v>2</v>
      </c>
      <c r="D13">
        <v>47.39</v>
      </c>
      <c r="F13" t="b">
        <f t="shared" si="0"/>
        <v>0</v>
      </c>
      <c r="G13">
        <f t="shared" si="1"/>
        <v>47.39</v>
      </c>
      <c r="K13" s="2"/>
      <c r="M13">
        <f t="shared" si="2"/>
        <v>0.7227280352594897</v>
      </c>
    </row>
    <row r="14" spans="1:13" x14ac:dyDescent="0.25">
      <c r="A14">
        <v>247.45</v>
      </c>
      <c r="B14">
        <v>19.28</v>
      </c>
      <c r="C14">
        <v>4</v>
      </c>
      <c r="D14">
        <v>130.80000000000001</v>
      </c>
      <c r="F14" t="b">
        <f t="shared" si="0"/>
        <v>0</v>
      </c>
      <c r="G14">
        <f t="shared" si="1"/>
        <v>130.80000000000001</v>
      </c>
      <c r="K14" s="2"/>
      <c r="M14">
        <f t="shared" si="2"/>
        <v>1.9947842796358148</v>
      </c>
    </row>
    <row r="15" spans="1:13" x14ac:dyDescent="0.25">
      <c r="A15">
        <v>220.7</v>
      </c>
      <c r="B15">
        <v>1.98</v>
      </c>
      <c r="C15">
        <v>0</v>
      </c>
      <c r="D15">
        <v>0</v>
      </c>
      <c r="F15" t="b">
        <f t="shared" si="0"/>
        <v>0</v>
      </c>
      <c r="G15">
        <f t="shared" si="1"/>
        <v>0</v>
      </c>
      <c r="K15" s="2"/>
      <c r="M15">
        <f t="shared" si="2"/>
        <v>0</v>
      </c>
    </row>
    <row r="16" spans="1:13" x14ac:dyDescent="0.25">
      <c r="A16">
        <v>213.66</v>
      </c>
      <c r="B16">
        <v>10.4</v>
      </c>
      <c r="C16">
        <v>2</v>
      </c>
      <c r="D16">
        <v>48.27</v>
      </c>
      <c r="F16" t="b">
        <f t="shared" si="0"/>
        <v>0</v>
      </c>
      <c r="G16">
        <f t="shared" si="1"/>
        <v>48.27</v>
      </c>
      <c r="K16" s="2"/>
      <c r="M16">
        <f t="shared" si="2"/>
        <v>0.73614860227844636</v>
      </c>
    </row>
    <row r="17" spans="1:13" x14ac:dyDescent="0.25">
      <c r="A17">
        <v>224.73</v>
      </c>
      <c r="B17">
        <v>1.5</v>
      </c>
      <c r="C17">
        <v>0</v>
      </c>
      <c r="D17">
        <v>0</v>
      </c>
      <c r="F17" t="b">
        <f t="shared" si="0"/>
        <v>0</v>
      </c>
      <c r="G17">
        <f t="shared" si="1"/>
        <v>0</v>
      </c>
      <c r="K17" s="2"/>
      <c r="M17">
        <f t="shared" si="2"/>
        <v>0</v>
      </c>
    </row>
    <row r="18" spans="1:13" x14ac:dyDescent="0.25">
      <c r="A18">
        <v>233.61</v>
      </c>
      <c r="B18">
        <v>5.34</v>
      </c>
      <c r="C18">
        <v>1</v>
      </c>
      <c r="D18">
        <v>18.600000000000001</v>
      </c>
      <c r="F18" t="b">
        <f t="shared" si="0"/>
        <v>0</v>
      </c>
      <c r="G18">
        <f t="shared" si="1"/>
        <v>18.600000000000001</v>
      </c>
      <c r="K18" s="2"/>
      <c r="M18">
        <f t="shared" si="2"/>
        <v>0.2836619847188544</v>
      </c>
    </row>
    <row r="19" spans="1:13" x14ac:dyDescent="0.25">
      <c r="A19">
        <v>240.04</v>
      </c>
      <c r="B19">
        <v>1.48</v>
      </c>
      <c r="C19">
        <v>0</v>
      </c>
      <c r="D19">
        <v>0</v>
      </c>
      <c r="F19" t="b">
        <f t="shared" si="0"/>
        <v>0</v>
      </c>
      <c r="G19">
        <f t="shared" si="1"/>
        <v>0</v>
      </c>
      <c r="K19" s="2"/>
      <c r="M19">
        <f t="shared" si="2"/>
        <v>0</v>
      </c>
    </row>
    <row r="20" spans="1:13" x14ac:dyDescent="0.25">
      <c r="A20">
        <v>203.53</v>
      </c>
      <c r="B20">
        <v>26.7</v>
      </c>
      <c r="C20">
        <v>6</v>
      </c>
      <c r="D20">
        <v>167.03</v>
      </c>
      <c r="F20" t="b">
        <f t="shared" si="0"/>
        <v>1</v>
      </c>
      <c r="G20">
        <f t="shared" si="1"/>
        <v>218.95318352059925</v>
      </c>
      <c r="K20" s="2"/>
      <c r="M20">
        <f t="shared" si="2"/>
        <v>3.3391771289228358</v>
      </c>
    </row>
    <row r="21" spans="1:13" x14ac:dyDescent="0.25">
      <c r="A21">
        <v>234.67</v>
      </c>
      <c r="B21">
        <v>5.84</v>
      </c>
      <c r="C21">
        <v>1</v>
      </c>
      <c r="D21">
        <v>18.77</v>
      </c>
      <c r="F21" t="b">
        <f t="shared" si="0"/>
        <v>0</v>
      </c>
      <c r="G21">
        <f t="shared" si="1"/>
        <v>18.77</v>
      </c>
      <c r="K21" s="2"/>
      <c r="M21">
        <f t="shared" si="2"/>
        <v>0.28625459425660732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1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207.55</v>
      </c>
      <c r="B2">
        <v>2.16</v>
      </c>
      <c r="C2">
        <v>0</v>
      </c>
      <c r="D2">
        <v>0.18</v>
      </c>
      <c r="F2" t="b">
        <f t="shared" ref="F2:F21" si="0">(D2&gt;165)</f>
        <v>0</v>
      </c>
      <c r="G2">
        <f t="shared" ref="G2:G21" si="1">IF(F2,D2+((D2/B2)*(35-B2)),D2)</f>
        <v>0.18</v>
      </c>
      <c r="M2">
        <f t="shared" ref="M2:M21" si="2">G2/65.571</f>
        <v>2.7451159811502034E-3</v>
      </c>
    </row>
    <row r="3" spans="1:13" x14ac:dyDescent="0.25">
      <c r="A3">
        <v>255.3</v>
      </c>
      <c r="B3">
        <v>19.059999999999999</v>
      </c>
      <c r="C3">
        <v>4</v>
      </c>
      <c r="D3">
        <v>130.63</v>
      </c>
      <c r="F3" t="b">
        <f t="shared" si="0"/>
        <v>0</v>
      </c>
      <c r="G3">
        <f t="shared" si="1"/>
        <v>130.63</v>
      </c>
      <c r="M3">
        <f t="shared" si="2"/>
        <v>1.9921916700980615</v>
      </c>
    </row>
    <row r="4" spans="1:13" x14ac:dyDescent="0.25">
      <c r="A4">
        <v>216.48</v>
      </c>
      <c r="B4">
        <v>5.5</v>
      </c>
      <c r="C4">
        <v>0</v>
      </c>
      <c r="D4">
        <v>42.9</v>
      </c>
      <c r="F4" t="b">
        <f t="shared" si="0"/>
        <v>0</v>
      </c>
      <c r="G4">
        <f t="shared" si="1"/>
        <v>42.9</v>
      </c>
      <c r="M4">
        <f t="shared" si="2"/>
        <v>0.65425264217413182</v>
      </c>
    </row>
    <row r="5" spans="1:13" x14ac:dyDescent="0.25">
      <c r="A5">
        <v>295.85000000000002</v>
      </c>
      <c r="B5">
        <v>16.96</v>
      </c>
      <c r="C5">
        <v>3</v>
      </c>
      <c r="D5">
        <v>130.93</v>
      </c>
      <c r="F5" t="b">
        <f t="shared" si="0"/>
        <v>0</v>
      </c>
      <c r="G5">
        <f t="shared" si="1"/>
        <v>130.93</v>
      </c>
      <c r="M5">
        <f t="shared" si="2"/>
        <v>1.9967668633999789</v>
      </c>
    </row>
    <row r="6" spans="1:13" x14ac:dyDescent="0.25">
      <c r="A6">
        <v>209.37</v>
      </c>
      <c r="B6">
        <v>31.46</v>
      </c>
      <c r="C6">
        <v>8</v>
      </c>
      <c r="D6">
        <v>167.03</v>
      </c>
      <c r="F6" t="b">
        <f t="shared" si="0"/>
        <v>1</v>
      </c>
      <c r="G6">
        <f t="shared" si="1"/>
        <v>185.8248569612206</v>
      </c>
      <c r="M6">
        <f t="shared" si="2"/>
        <v>2.8339488029955411</v>
      </c>
    </row>
    <row r="7" spans="1:13" x14ac:dyDescent="0.25">
      <c r="A7">
        <v>197.2</v>
      </c>
      <c r="B7">
        <v>9.2200000000000006</v>
      </c>
      <c r="C7">
        <v>2</v>
      </c>
      <c r="D7">
        <v>47.56</v>
      </c>
      <c r="F7" t="b">
        <f t="shared" si="0"/>
        <v>0</v>
      </c>
      <c r="G7">
        <f t="shared" si="1"/>
        <v>47.56</v>
      </c>
      <c r="M7">
        <f t="shared" si="2"/>
        <v>0.72532064479724279</v>
      </c>
    </row>
    <row r="8" spans="1:13" x14ac:dyDescent="0.25">
      <c r="A8">
        <v>262.17</v>
      </c>
      <c r="B8">
        <v>10.46</v>
      </c>
      <c r="C8">
        <v>2</v>
      </c>
      <c r="D8">
        <v>48.16</v>
      </c>
      <c r="F8" t="b">
        <f t="shared" si="0"/>
        <v>0</v>
      </c>
      <c r="G8">
        <f t="shared" si="1"/>
        <v>48.16</v>
      </c>
      <c r="M8">
        <f t="shared" si="2"/>
        <v>0.73447103140107661</v>
      </c>
    </row>
    <row r="9" spans="1:13" x14ac:dyDescent="0.25">
      <c r="A9">
        <v>261.51</v>
      </c>
      <c r="B9">
        <v>23.74</v>
      </c>
      <c r="C9">
        <v>5</v>
      </c>
      <c r="D9">
        <v>167.16</v>
      </c>
      <c r="F9" t="b">
        <f t="shared" si="0"/>
        <v>1</v>
      </c>
      <c r="G9">
        <f t="shared" si="1"/>
        <v>246.44481887110362</v>
      </c>
      <c r="M9">
        <f t="shared" si="2"/>
        <v>3.7584422819707437</v>
      </c>
    </row>
    <row r="10" spans="1:13" x14ac:dyDescent="0.25">
      <c r="A10">
        <v>205.98</v>
      </c>
      <c r="B10">
        <v>16.440000000000001</v>
      </c>
      <c r="C10">
        <v>0</v>
      </c>
      <c r="D10">
        <v>167.06</v>
      </c>
      <c r="F10" t="b">
        <f t="shared" si="0"/>
        <v>1</v>
      </c>
      <c r="G10">
        <f t="shared" si="1"/>
        <v>355.66301703163015</v>
      </c>
      <c r="M10">
        <f t="shared" si="2"/>
        <v>5.4240901775423609</v>
      </c>
    </row>
    <row r="11" spans="1:13" x14ac:dyDescent="0.25">
      <c r="A11">
        <v>248.31</v>
      </c>
      <c r="B11">
        <v>28.84</v>
      </c>
      <c r="C11">
        <v>7</v>
      </c>
      <c r="D11">
        <v>166.86</v>
      </c>
      <c r="F11" t="b">
        <f t="shared" si="0"/>
        <v>1</v>
      </c>
      <c r="G11">
        <f t="shared" si="1"/>
        <v>202.50000000000003</v>
      </c>
      <c r="M11">
        <f t="shared" si="2"/>
        <v>3.0882554787939798</v>
      </c>
    </row>
    <row r="12" spans="1:13" x14ac:dyDescent="0.25">
      <c r="A12">
        <v>245.59</v>
      </c>
      <c r="B12">
        <v>33.340000000000003</v>
      </c>
      <c r="C12">
        <v>9</v>
      </c>
      <c r="D12">
        <v>166.87</v>
      </c>
      <c r="F12" t="b">
        <f t="shared" si="0"/>
        <v>1</v>
      </c>
      <c r="G12">
        <f t="shared" si="1"/>
        <v>175.17846430713857</v>
      </c>
      <c r="M12">
        <f t="shared" si="2"/>
        <v>2.6715844551270922</v>
      </c>
    </row>
    <row r="13" spans="1:13" x14ac:dyDescent="0.25">
      <c r="A13">
        <v>247.47</v>
      </c>
      <c r="B13">
        <v>34.26</v>
      </c>
      <c r="C13">
        <v>9</v>
      </c>
      <c r="D13">
        <v>166.95</v>
      </c>
      <c r="F13" t="b">
        <f t="shared" si="0"/>
        <v>1</v>
      </c>
      <c r="G13">
        <f t="shared" si="1"/>
        <v>170.55604203152365</v>
      </c>
      <c r="M13">
        <f t="shared" si="2"/>
        <v>2.6010895370136744</v>
      </c>
    </row>
    <row r="14" spans="1:13" x14ac:dyDescent="0.25">
      <c r="A14">
        <v>210.23</v>
      </c>
      <c r="B14">
        <v>27.56</v>
      </c>
      <c r="C14">
        <v>6</v>
      </c>
      <c r="D14">
        <v>167.12</v>
      </c>
      <c r="F14" t="b">
        <f t="shared" si="0"/>
        <v>1</v>
      </c>
      <c r="G14">
        <f t="shared" si="1"/>
        <v>212.23512336719887</v>
      </c>
      <c r="M14">
        <f t="shared" si="2"/>
        <v>3.2367223828704592</v>
      </c>
    </row>
    <row r="15" spans="1:13" x14ac:dyDescent="0.25">
      <c r="A15">
        <v>247.07</v>
      </c>
      <c r="B15">
        <v>9.3800000000000008</v>
      </c>
      <c r="C15">
        <v>2</v>
      </c>
      <c r="D15">
        <v>47.48</v>
      </c>
      <c r="F15" t="b">
        <f t="shared" si="0"/>
        <v>0</v>
      </c>
      <c r="G15">
        <f t="shared" si="1"/>
        <v>47.48</v>
      </c>
      <c r="M15">
        <f t="shared" si="2"/>
        <v>0.72410059325006482</v>
      </c>
    </row>
    <row r="16" spans="1:13" x14ac:dyDescent="0.25">
      <c r="A16">
        <v>240.88</v>
      </c>
      <c r="B16">
        <v>6.08</v>
      </c>
      <c r="C16">
        <v>1</v>
      </c>
      <c r="D16">
        <v>18.600000000000001</v>
      </c>
      <c r="F16" t="b">
        <f t="shared" si="0"/>
        <v>0</v>
      </c>
      <c r="G16">
        <f t="shared" si="1"/>
        <v>18.600000000000001</v>
      </c>
      <c r="M16">
        <f t="shared" si="2"/>
        <v>0.2836619847188544</v>
      </c>
    </row>
    <row r="17" spans="1:13" x14ac:dyDescent="0.25">
      <c r="A17">
        <v>244.91</v>
      </c>
      <c r="B17">
        <v>31.42</v>
      </c>
      <c r="C17">
        <v>7</v>
      </c>
      <c r="D17">
        <v>167.07</v>
      </c>
      <c r="F17" t="b">
        <f t="shared" si="0"/>
        <v>1</v>
      </c>
      <c r="G17">
        <f t="shared" si="1"/>
        <v>186.1059834500318</v>
      </c>
      <c r="M17">
        <f t="shared" si="2"/>
        <v>2.8382361630908757</v>
      </c>
    </row>
    <row r="18" spans="1:13" x14ac:dyDescent="0.25">
      <c r="A18">
        <v>193.33</v>
      </c>
      <c r="B18">
        <v>21.98</v>
      </c>
      <c r="C18">
        <v>5</v>
      </c>
      <c r="D18">
        <v>130.91</v>
      </c>
      <c r="F18" t="b">
        <f t="shared" si="0"/>
        <v>0</v>
      </c>
      <c r="G18">
        <f t="shared" si="1"/>
        <v>130.91</v>
      </c>
      <c r="M18">
        <f t="shared" si="2"/>
        <v>1.9964618505131841</v>
      </c>
    </row>
    <row r="19" spans="1:13" x14ac:dyDescent="0.25">
      <c r="A19">
        <v>212.79</v>
      </c>
      <c r="B19">
        <v>1.48</v>
      </c>
      <c r="C19">
        <v>0</v>
      </c>
      <c r="D19">
        <v>0</v>
      </c>
      <c r="F19" t="b">
        <f t="shared" si="0"/>
        <v>0</v>
      </c>
      <c r="G19">
        <f t="shared" si="1"/>
        <v>0</v>
      </c>
      <c r="M19">
        <f t="shared" si="2"/>
        <v>0</v>
      </c>
    </row>
    <row r="20" spans="1:13" x14ac:dyDescent="0.25">
      <c r="A20">
        <v>244.89</v>
      </c>
      <c r="B20">
        <v>9.68</v>
      </c>
      <c r="C20">
        <v>2</v>
      </c>
      <c r="D20">
        <v>47.46</v>
      </c>
      <c r="F20" t="b">
        <f t="shared" si="0"/>
        <v>0</v>
      </c>
      <c r="G20">
        <f t="shared" si="1"/>
        <v>47.46</v>
      </c>
      <c r="M20">
        <f t="shared" si="2"/>
        <v>0.72379558036327041</v>
      </c>
    </row>
    <row r="21" spans="1:13" x14ac:dyDescent="0.25">
      <c r="A21">
        <v>249.8</v>
      </c>
      <c r="B21">
        <v>2</v>
      </c>
      <c r="C21">
        <v>0</v>
      </c>
      <c r="D21">
        <v>0</v>
      </c>
      <c r="F21" t="b">
        <f t="shared" si="0"/>
        <v>0</v>
      </c>
      <c r="G21">
        <f t="shared" si="1"/>
        <v>0</v>
      </c>
      <c r="M21">
        <f t="shared" si="2"/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2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I1" t="s">
        <v>24</v>
      </c>
    </row>
    <row r="2" spans="1:13" x14ac:dyDescent="0.25">
      <c r="A2">
        <v>245.08</v>
      </c>
      <c r="B2">
        <v>4.4400000000000004</v>
      </c>
      <c r="C2">
        <v>1</v>
      </c>
      <c r="D2">
        <v>18.91</v>
      </c>
      <c r="F2" t="b">
        <f t="shared" ref="F2:F21" si="0">(D2&gt;165)</f>
        <v>0</v>
      </c>
      <c r="G2">
        <f t="shared" ref="G2:G21" si="1">IF(F2,D2+((D2/B2)*(35-B2)),D2)</f>
        <v>18.91</v>
      </c>
      <c r="I2" s="1">
        <f>_xlfn.T.TEST(G2:G21,control!G2:G21,1,3)</f>
        <v>4.4726904719266797E-2</v>
      </c>
      <c r="M2">
        <f t="shared" ref="M2:M21" si="2">G2/65.571</f>
        <v>0.28838968446416863</v>
      </c>
    </row>
    <row r="3" spans="1:13" x14ac:dyDescent="0.25">
      <c r="A3">
        <v>187.94</v>
      </c>
      <c r="B3">
        <v>1.5</v>
      </c>
      <c r="C3">
        <v>0</v>
      </c>
      <c r="D3">
        <v>0</v>
      </c>
      <c r="F3" t="b">
        <f t="shared" si="0"/>
        <v>0</v>
      </c>
      <c r="G3">
        <f t="shared" si="1"/>
        <v>0</v>
      </c>
      <c r="M3">
        <f t="shared" si="2"/>
        <v>0</v>
      </c>
    </row>
    <row r="4" spans="1:13" x14ac:dyDescent="0.25">
      <c r="A4">
        <v>282.14999999999998</v>
      </c>
      <c r="B4">
        <v>1.5</v>
      </c>
      <c r="C4">
        <v>0</v>
      </c>
      <c r="D4">
        <v>0</v>
      </c>
      <c r="F4" t="b">
        <f t="shared" si="0"/>
        <v>0</v>
      </c>
      <c r="G4">
        <f t="shared" si="1"/>
        <v>0</v>
      </c>
      <c r="M4">
        <f t="shared" si="2"/>
        <v>0</v>
      </c>
    </row>
    <row r="5" spans="1:13" x14ac:dyDescent="0.25">
      <c r="A5">
        <v>273.11</v>
      </c>
      <c r="B5">
        <v>1.72</v>
      </c>
      <c r="C5">
        <v>0</v>
      </c>
      <c r="D5">
        <v>0</v>
      </c>
      <c r="F5" t="b">
        <f t="shared" si="0"/>
        <v>0</v>
      </c>
      <c r="G5">
        <f t="shared" si="1"/>
        <v>0</v>
      </c>
      <c r="M5">
        <f t="shared" si="2"/>
        <v>0</v>
      </c>
    </row>
    <row r="6" spans="1:13" x14ac:dyDescent="0.25">
      <c r="A6">
        <v>678.06</v>
      </c>
      <c r="B6">
        <v>1.34</v>
      </c>
      <c r="C6">
        <v>0</v>
      </c>
      <c r="D6">
        <v>0</v>
      </c>
      <c r="F6" t="b">
        <f t="shared" si="0"/>
        <v>0</v>
      </c>
      <c r="G6">
        <f t="shared" si="1"/>
        <v>0</v>
      </c>
      <c r="M6">
        <f t="shared" si="2"/>
        <v>0</v>
      </c>
    </row>
    <row r="7" spans="1:13" x14ac:dyDescent="0.25">
      <c r="A7">
        <v>791</v>
      </c>
      <c r="B7">
        <v>1.5</v>
      </c>
      <c r="C7">
        <v>0</v>
      </c>
      <c r="D7">
        <v>0</v>
      </c>
      <c r="F7" t="b">
        <f t="shared" si="0"/>
        <v>0</v>
      </c>
      <c r="G7">
        <f t="shared" si="1"/>
        <v>0</v>
      </c>
      <c r="M7">
        <f t="shared" si="2"/>
        <v>0</v>
      </c>
    </row>
    <row r="8" spans="1:13" x14ac:dyDescent="0.25">
      <c r="A8">
        <v>158.19</v>
      </c>
      <c r="B8">
        <v>1.5</v>
      </c>
      <c r="C8">
        <v>0</v>
      </c>
      <c r="D8">
        <v>0</v>
      </c>
      <c r="F8" t="b">
        <f t="shared" si="0"/>
        <v>0</v>
      </c>
      <c r="G8">
        <f t="shared" si="1"/>
        <v>0</v>
      </c>
      <c r="M8">
        <f t="shared" si="2"/>
        <v>0</v>
      </c>
    </row>
    <row r="9" spans="1:13" x14ac:dyDescent="0.25">
      <c r="A9">
        <v>206.99</v>
      </c>
      <c r="B9">
        <v>1.98</v>
      </c>
      <c r="C9">
        <v>0</v>
      </c>
      <c r="D9">
        <v>0</v>
      </c>
      <c r="F9" t="b">
        <f t="shared" si="0"/>
        <v>0</v>
      </c>
      <c r="G9">
        <f t="shared" si="1"/>
        <v>0</v>
      </c>
      <c r="M9">
        <f t="shared" si="2"/>
        <v>0</v>
      </c>
    </row>
    <row r="10" spans="1:13" x14ac:dyDescent="0.25">
      <c r="A10">
        <v>157.01</v>
      </c>
      <c r="B10">
        <v>2</v>
      </c>
      <c r="C10">
        <v>0</v>
      </c>
      <c r="D10">
        <v>0</v>
      </c>
      <c r="F10" t="b">
        <f t="shared" si="0"/>
        <v>0</v>
      </c>
      <c r="G10">
        <f t="shared" si="1"/>
        <v>0</v>
      </c>
      <c r="M10">
        <f t="shared" si="2"/>
        <v>0</v>
      </c>
    </row>
    <row r="11" spans="1:13" x14ac:dyDescent="0.25">
      <c r="A11">
        <v>447.57</v>
      </c>
      <c r="B11">
        <v>1.34</v>
      </c>
      <c r="C11">
        <v>0</v>
      </c>
      <c r="D11">
        <v>0</v>
      </c>
      <c r="F11" t="b">
        <f t="shared" si="0"/>
        <v>0</v>
      </c>
      <c r="G11">
        <f t="shared" si="1"/>
        <v>0</v>
      </c>
      <c r="M11">
        <f t="shared" si="2"/>
        <v>0</v>
      </c>
    </row>
    <row r="12" spans="1:13" x14ac:dyDescent="0.25">
      <c r="A12">
        <v>211.94</v>
      </c>
      <c r="B12">
        <v>1.5</v>
      </c>
      <c r="C12">
        <v>0</v>
      </c>
      <c r="D12">
        <v>0</v>
      </c>
      <c r="F12" t="b">
        <f t="shared" si="0"/>
        <v>0</v>
      </c>
      <c r="G12">
        <f t="shared" si="1"/>
        <v>0</v>
      </c>
      <c r="M12">
        <f t="shared" si="2"/>
        <v>0</v>
      </c>
    </row>
    <row r="13" spans="1:13" x14ac:dyDescent="0.25">
      <c r="A13">
        <v>209.92</v>
      </c>
      <c r="B13">
        <v>1.52</v>
      </c>
      <c r="C13">
        <v>0</v>
      </c>
      <c r="D13">
        <v>0</v>
      </c>
      <c r="F13" t="b">
        <f t="shared" si="0"/>
        <v>0</v>
      </c>
      <c r="G13">
        <f t="shared" si="1"/>
        <v>0</v>
      </c>
      <c r="M13">
        <f t="shared" si="2"/>
        <v>0</v>
      </c>
    </row>
    <row r="14" spans="1:13" x14ac:dyDescent="0.25">
      <c r="A14">
        <v>314.95</v>
      </c>
      <c r="B14">
        <v>2</v>
      </c>
      <c r="C14">
        <v>0</v>
      </c>
      <c r="D14">
        <v>0</v>
      </c>
      <c r="F14" t="b">
        <f t="shared" si="0"/>
        <v>0</v>
      </c>
      <c r="G14">
        <f t="shared" si="1"/>
        <v>0</v>
      </c>
      <c r="M14">
        <f t="shared" si="2"/>
        <v>0</v>
      </c>
    </row>
    <row r="15" spans="1:13" x14ac:dyDescent="0.25">
      <c r="A15">
        <v>236.91</v>
      </c>
      <c r="B15">
        <v>34.58</v>
      </c>
      <c r="C15">
        <v>9</v>
      </c>
      <c r="D15">
        <v>166.87</v>
      </c>
      <c r="F15" t="b">
        <f t="shared" si="0"/>
        <v>1</v>
      </c>
      <c r="G15">
        <f t="shared" si="1"/>
        <v>168.89676113360326</v>
      </c>
      <c r="M15">
        <f t="shared" si="2"/>
        <v>2.575784434179794</v>
      </c>
    </row>
    <row r="16" spans="1:13" x14ac:dyDescent="0.25">
      <c r="A16">
        <v>198.79</v>
      </c>
      <c r="B16">
        <v>1.9</v>
      </c>
      <c r="C16">
        <v>0</v>
      </c>
      <c r="D16">
        <v>0</v>
      </c>
      <c r="F16" t="b">
        <f t="shared" si="0"/>
        <v>0</v>
      </c>
      <c r="G16">
        <f t="shared" si="1"/>
        <v>0</v>
      </c>
      <c r="M16">
        <f t="shared" si="2"/>
        <v>0</v>
      </c>
    </row>
    <row r="17" spans="1:13" x14ac:dyDescent="0.25">
      <c r="A17">
        <v>175.76</v>
      </c>
      <c r="B17">
        <v>1.5</v>
      </c>
      <c r="C17">
        <v>0</v>
      </c>
      <c r="D17">
        <v>0</v>
      </c>
      <c r="F17" t="b">
        <f t="shared" si="0"/>
        <v>0</v>
      </c>
      <c r="G17">
        <f t="shared" si="1"/>
        <v>0</v>
      </c>
      <c r="M17">
        <f t="shared" si="2"/>
        <v>0</v>
      </c>
    </row>
    <row r="18" spans="1:13" x14ac:dyDescent="0.25">
      <c r="A18">
        <v>190.56</v>
      </c>
      <c r="B18">
        <v>1.5</v>
      </c>
      <c r="C18">
        <v>0</v>
      </c>
      <c r="D18">
        <v>0</v>
      </c>
      <c r="F18" t="b">
        <f t="shared" si="0"/>
        <v>0</v>
      </c>
      <c r="G18">
        <f t="shared" si="1"/>
        <v>0</v>
      </c>
      <c r="M18">
        <f t="shared" si="2"/>
        <v>0</v>
      </c>
    </row>
    <row r="19" spans="1:13" x14ac:dyDescent="0.25">
      <c r="A19">
        <v>213.01</v>
      </c>
      <c r="B19">
        <v>1.34</v>
      </c>
      <c r="C19">
        <v>0</v>
      </c>
      <c r="D19">
        <v>0</v>
      </c>
      <c r="F19" t="b">
        <f t="shared" si="0"/>
        <v>0</v>
      </c>
      <c r="G19">
        <f t="shared" si="1"/>
        <v>0</v>
      </c>
      <c r="M19">
        <f t="shared" si="2"/>
        <v>0</v>
      </c>
    </row>
    <row r="20" spans="1:13" x14ac:dyDescent="0.25">
      <c r="A20">
        <v>352.88</v>
      </c>
      <c r="B20">
        <v>34.020000000000003</v>
      </c>
      <c r="C20">
        <v>9</v>
      </c>
      <c r="D20">
        <v>166.87</v>
      </c>
      <c r="F20" t="b">
        <f t="shared" si="0"/>
        <v>1</v>
      </c>
      <c r="G20">
        <f t="shared" si="1"/>
        <v>171.67695473251027</v>
      </c>
      <c r="M20">
        <f t="shared" si="2"/>
        <v>2.6181841779523003</v>
      </c>
    </row>
    <row r="21" spans="1:13" x14ac:dyDescent="0.25">
      <c r="A21">
        <v>244.7</v>
      </c>
      <c r="B21">
        <v>33.9</v>
      </c>
      <c r="C21">
        <v>9</v>
      </c>
      <c r="D21">
        <v>166.87</v>
      </c>
      <c r="F21" t="b">
        <f t="shared" si="0"/>
        <v>1</v>
      </c>
      <c r="G21">
        <f t="shared" si="1"/>
        <v>172.28466076696168</v>
      </c>
      <c r="M21">
        <f t="shared" si="2"/>
        <v>2.6274520865468225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5"/>
  <dimension ref="A1:M21"/>
  <sheetViews>
    <sheetView workbookViewId="0">
      <selection activeCell="G2" sqref="G2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163.61000000000001</v>
      </c>
      <c r="B2">
        <v>31.32</v>
      </c>
      <c r="C2">
        <v>9</v>
      </c>
      <c r="D2">
        <v>167.01</v>
      </c>
      <c r="F2" t="b">
        <f t="shared" ref="F2:F21" si="0">(D2&gt;165)</f>
        <v>1</v>
      </c>
      <c r="G2">
        <f t="shared" ref="G2:G21" si="1">IF(F2,D2+((D2/B2)*(35-B2)),D2)</f>
        <v>186.63314176245208</v>
      </c>
      <c r="M2">
        <f t="shared" ref="M2:M21" si="2">G2/65.571</f>
        <v>2.8462756670243263</v>
      </c>
    </row>
    <row r="3" spans="1:13" x14ac:dyDescent="0.25">
      <c r="A3">
        <v>195.72</v>
      </c>
      <c r="B3">
        <v>31.42</v>
      </c>
      <c r="C3">
        <v>9</v>
      </c>
      <c r="D3">
        <v>167.06</v>
      </c>
      <c r="F3" t="b">
        <f t="shared" si="0"/>
        <v>1</v>
      </c>
      <c r="G3">
        <f t="shared" si="1"/>
        <v>186.09484404837681</v>
      </c>
      <c r="M3">
        <f t="shared" si="2"/>
        <v>2.838066280038078</v>
      </c>
    </row>
    <row r="4" spans="1:13" x14ac:dyDescent="0.25">
      <c r="A4">
        <v>201.42</v>
      </c>
      <c r="B4">
        <v>5.12</v>
      </c>
      <c r="C4">
        <v>1</v>
      </c>
      <c r="D4">
        <v>18.68</v>
      </c>
      <c r="F4" t="b">
        <f t="shared" si="0"/>
        <v>0</v>
      </c>
      <c r="G4">
        <f t="shared" si="1"/>
        <v>18.68</v>
      </c>
      <c r="M4">
        <f t="shared" si="2"/>
        <v>0.28488203626603226</v>
      </c>
    </row>
    <row r="5" spans="1:13" x14ac:dyDescent="0.25">
      <c r="A5">
        <v>201.48</v>
      </c>
      <c r="B5">
        <v>20.059999999999999</v>
      </c>
      <c r="C5">
        <v>4</v>
      </c>
      <c r="D5">
        <v>166.89</v>
      </c>
      <c r="F5" t="b">
        <f t="shared" si="0"/>
        <v>1</v>
      </c>
      <c r="G5">
        <f t="shared" si="1"/>
        <v>291.18394815553341</v>
      </c>
      <c r="M5">
        <f t="shared" si="2"/>
        <v>4.4407428307564842</v>
      </c>
    </row>
    <row r="6" spans="1:13" x14ac:dyDescent="0.25">
      <c r="A6">
        <v>160.68</v>
      </c>
      <c r="B6">
        <v>20.34</v>
      </c>
      <c r="C6">
        <v>4</v>
      </c>
      <c r="D6">
        <v>166.93</v>
      </c>
      <c r="F6" t="b">
        <f t="shared" si="0"/>
        <v>1</v>
      </c>
      <c r="G6">
        <f t="shared" si="1"/>
        <v>287.24434611602754</v>
      </c>
      <c r="M6">
        <f t="shared" si="2"/>
        <v>4.3806613612119314</v>
      </c>
    </row>
    <row r="7" spans="1:13" x14ac:dyDescent="0.25">
      <c r="A7">
        <v>170.2</v>
      </c>
      <c r="B7">
        <v>31.02</v>
      </c>
      <c r="C7">
        <v>9</v>
      </c>
      <c r="D7">
        <v>167.06</v>
      </c>
      <c r="F7" t="b">
        <f t="shared" si="0"/>
        <v>1</v>
      </c>
      <c r="G7">
        <f t="shared" si="1"/>
        <v>188.49451966473242</v>
      </c>
      <c r="M7">
        <f t="shared" si="2"/>
        <v>2.8746628793938238</v>
      </c>
    </row>
    <row r="8" spans="1:13" x14ac:dyDescent="0.25">
      <c r="A8">
        <v>190.84</v>
      </c>
      <c r="B8">
        <v>1.62</v>
      </c>
      <c r="C8">
        <v>0</v>
      </c>
      <c r="D8">
        <v>0</v>
      </c>
      <c r="F8" t="b">
        <f t="shared" si="0"/>
        <v>0</v>
      </c>
      <c r="G8">
        <f t="shared" si="1"/>
        <v>0</v>
      </c>
      <c r="M8">
        <f t="shared" si="2"/>
        <v>0</v>
      </c>
    </row>
    <row r="9" spans="1:13" x14ac:dyDescent="0.25">
      <c r="A9">
        <v>215.99</v>
      </c>
      <c r="B9">
        <v>6.06</v>
      </c>
      <c r="C9">
        <v>1</v>
      </c>
      <c r="D9">
        <v>18.88</v>
      </c>
      <c r="F9" t="b">
        <f t="shared" si="0"/>
        <v>0</v>
      </c>
      <c r="G9">
        <f t="shared" si="1"/>
        <v>18.88</v>
      </c>
      <c r="M9">
        <f t="shared" si="2"/>
        <v>0.2879321651339769</v>
      </c>
    </row>
    <row r="10" spans="1:13" x14ac:dyDescent="0.25">
      <c r="A10">
        <v>185.14</v>
      </c>
      <c r="B10">
        <v>24.32</v>
      </c>
      <c r="C10">
        <v>6</v>
      </c>
      <c r="D10">
        <v>166.99</v>
      </c>
      <c r="F10" t="b">
        <f t="shared" si="0"/>
        <v>1</v>
      </c>
      <c r="G10">
        <f t="shared" si="1"/>
        <v>240.32277960526318</v>
      </c>
      <c r="M10">
        <f t="shared" si="2"/>
        <v>3.6650772384935899</v>
      </c>
    </row>
    <row r="11" spans="1:13" x14ac:dyDescent="0.25">
      <c r="A11">
        <v>208.45</v>
      </c>
      <c r="B11">
        <v>6.16</v>
      </c>
      <c r="C11">
        <v>0</v>
      </c>
      <c r="D11">
        <v>45.02</v>
      </c>
      <c r="F11" t="b">
        <f t="shared" si="0"/>
        <v>0</v>
      </c>
      <c r="G11">
        <f t="shared" si="1"/>
        <v>45.02</v>
      </c>
      <c r="M11">
        <f t="shared" si="2"/>
        <v>0.68658400817434539</v>
      </c>
    </row>
    <row r="12" spans="1:13" x14ac:dyDescent="0.25">
      <c r="A12">
        <v>207.47</v>
      </c>
      <c r="B12">
        <v>1.56</v>
      </c>
      <c r="C12">
        <v>0</v>
      </c>
      <c r="D12">
        <v>0</v>
      </c>
      <c r="F12" t="b">
        <f t="shared" si="0"/>
        <v>0</v>
      </c>
      <c r="G12">
        <f t="shared" si="1"/>
        <v>0</v>
      </c>
      <c r="M12">
        <f t="shared" si="2"/>
        <v>0</v>
      </c>
    </row>
    <row r="13" spans="1:13" x14ac:dyDescent="0.25">
      <c r="A13">
        <v>175.88</v>
      </c>
      <c r="B13">
        <v>20.98</v>
      </c>
      <c r="C13">
        <v>3</v>
      </c>
      <c r="D13">
        <v>166.98</v>
      </c>
      <c r="F13" t="b">
        <f t="shared" si="0"/>
        <v>1</v>
      </c>
      <c r="G13">
        <f t="shared" si="1"/>
        <v>278.56530028598661</v>
      </c>
      <c r="M13">
        <f t="shared" si="2"/>
        <v>4.2483003200498182</v>
      </c>
    </row>
    <row r="14" spans="1:13" x14ac:dyDescent="0.25">
      <c r="A14">
        <v>182.12</v>
      </c>
      <c r="B14">
        <v>31.04</v>
      </c>
      <c r="C14">
        <v>9</v>
      </c>
      <c r="D14">
        <v>167.06</v>
      </c>
      <c r="F14" t="b">
        <f t="shared" si="0"/>
        <v>1</v>
      </c>
      <c r="G14">
        <f t="shared" si="1"/>
        <v>188.37306701030928</v>
      </c>
      <c r="M14">
        <f t="shared" si="2"/>
        <v>2.8728106481571012</v>
      </c>
    </row>
    <row r="15" spans="1:13" x14ac:dyDescent="0.25">
      <c r="A15">
        <v>233.55</v>
      </c>
      <c r="B15">
        <v>23.12</v>
      </c>
      <c r="C15">
        <v>5</v>
      </c>
      <c r="D15">
        <v>131.82</v>
      </c>
      <c r="F15" t="b">
        <f t="shared" si="0"/>
        <v>0</v>
      </c>
      <c r="G15">
        <f t="shared" si="1"/>
        <v>131.82</v>
      </c>
      <c r="M15">
        <f t="shared" si="2"/>
        <v>2.0103399368623323</v>
      </c>
    </row>
    <row r="16" spans="1:13" x14ac:dyDescent="0.25">
      <c r="A16">
        <v>232.74</v>
      </c>
      <c r="B16">
        <v>24.06</v>
      </c>
      <c r="C16">
        <v>6</v>
      </c>
      <c r="D16">
        <v>166.85</v>
      </c>
      <c r="F16" t="b">
        <f t="shared" si="0"/>
        <v>1</v>
      </c>
      <c r="G16">
        <f t="shared" si="1"/>
        <v>242.71612635078969</v>
      </c>
      <c r="M16">
        <f t="shared" si="2"/>
        <v>3.7015773184912493</v>
      </c>
    </row>
    <row r="17" spans="1:13" x14ac:dyDescent="0.25">
      <c r="A17">
        <v>187.02</v>
      </c>
      <c r="B17">
        <v>21.9</v>
      </c>
      <c r="C17">
        <v>5</v>
      </c>
      <c r="D17">
        <v>166.81</v>
      </c>
      <c r="F17" t="b">
        <f t="shared" si="0"/>
        <v>1</v>
      </c>
      <c r="G17">
        <f t="shared" si="1"/>
        <v>266.59132420091328</v>
      </c>
      <c r="M17">
        <f t="shared" si="2"/>
        <v>4.0656894694440116</v>
      </c>
    </row>
    <row r="18" spans="1:13" x14ac:dyDescent="0.25">
      <c r="A18">
        <v>172.93</v>
      </c>
      <c r="B18">
        <v>2.04</v>
      </c>
      <c r="C18">
        <v>0</v>
      </c>
      <c r="D18">
        <v>0</v>
      </c>
      <c r="F18" t="b">
        <f t="shared" si="0"/>
        <v>0</v>
      </c>
      <c r="G18">
        <f t="shared" si="1"/>
        <v>0</v>
      </c>
      <c r="M18">
        <f t="shared" si="2"/>
        <v>0</v>
      </c>
    </row>
    <row r="19" spans="1:13" x14ac:dyDescent="0.25">
      <c r="A19">
        <v>205.83</v>
      </c>
      <c r="B19">
        <v>1.56</v>
      </c>
      <c r="C19">
        <v>0</v>
      </c>
      <c r="D19">
        <v>0</v>
      </c>
      <c r="F19" t="b">
        <f t="shared" si="0"/>
        <v>0</v>
      </c>
      <c r="G19">
        <f t="shared" si="1"/>
        <v>0</v>
      </c>
      <c r="M19">
        <f t="shared" si="2"/>
        <v>0</v>
      </c>
    </row>
    <row r="20" spans="1:13" x14ac:dyDescent="0.25">
      <c r="A20">
        <v>206.46</v>
      </c>
      <c r="B20">
        <v>21.1</v>
      </c>
      <c r="C20">
        <v>5</v>
      </c>
      <c r="D20">
        <v>130.41</v>
      </c>
      <c r="F20" t="b">
        <f t="shared" si="0"/>
        <v>0</v>
      </c>
      <c r="G20">
        <f t="shared" si="1"/>
        <v>130.41</v>
      </c>
      <c r="M20">
        <f t="shared" si="2"/>
        <v>1.9888365283433225</v>
      </c>
    </row>
    <row r="21" spans="1:13" x14ac:dyDescent="0.25">
      <c r="A21">
        <v>216.82</v>
      </c>
      <c r="B21">
        <v>18.579999999999998</v>
      </c>
      <c r="C21">
        <v>4</v>
      </c>
      <c r="D21">
        <v>130.69999999999999</v>
      </c>
      <c r="F21" t="b">
        <f t="shared" si="0"/>
        <v>0</v>
      </c>
      <c r="G21">
        <f t="shared" si="1"/>
        <v>130.69999999999999</v>
      </c>
      <c r="M21">
        <f t="shared" si="2"/>
        <v>1.9932592152018422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6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80.760000000000005</v>
      </c>
      <c r="B2">
        <v>33.1</v>
      </c>
      <c r="C2">
        <v>9</v>
      </c>
      <c r="D2">
        <v>161.32</v>
      </c>
      <c r="F2" t="b">
        <f t="shared" ref="F2:F21" si="0">(D2&gt;165)</f>
        <v>0</v>
      </c>
      <c r="G2">
        <f t="shared" ref="G2:G21" si="1">IF(F2,D2+((D2/B2)*(35-B2)),D2)</f>
        <v>161.32</v>
      </c>
      <c r="M2">
        <f t="shared" ref="M2:M21" si="2">G2/65.571</f>
        <v>2.4602339448841715</v>
      </c>
    </row>
    <row r="3" spans="1:13" x14ac:dyDescent="0.25">
      <c r="A3">
        <v>93.04</v>
      </c>
      <c r="B3">
        <v>31.16</v>
      </c>
      <c r="C3">
        <v>9</v>
      </c>
      <c r="D3">
        <v>166.75</v>
      </c>
      <c r="F3" t="b">
        <f t="shared" si="0"/>
        <v>1</v>
      </c>
      <c r="G3">
        <f t="shared" si="1"/>
        <v>187.29942233632863</v>
      </c>
      <c r="M3">
        <f t="shared" si="2"/>
        <v>2.8564368750869842</v>
      </c>
    </row>
    <row r="4" spans="1:13" x14ac:dyDescent="0.25">
      <c r="A4">
        <v>93.49</v>
      </c>
      <c r="B4">
        <v>9.52</v>
      </c>
      <c r="C4">
        <v>2</v>
      </c>
      <c r="D4">
        <v>47.29</v>
      </c>
      <c r="F4" t="b">
        <f t="shared" si="0"/>
        <v>0</v>
      </c>
      <c r="G4">
        <f t="shared" si="1"/>
        <v>47.29</v>
      </c>
      <c r="M4">
        <f t="shared" si="2"/>
        <v>0.72120297082551743</v>
      </c>
    </row>
    <row r="5" spans="1:13" x14ac:dyDescent="0.25">
      <c r="A5">
        <v>89.41</v>
      </c>
      <c r="B5">
        <v>19.88</v>
      </c>
      <c r="C5">
        <v>3</v>
      </c>
      <c r="D5">
        <v>142.84</v>
      </c>
      <c r="F5" t="b">
        <f t="shared" si="0"/>
        <v>0</v>
      </c>
      <c r="G5">
        <f t="shared" si="1"/>
        <v>142.84</v>
      </c>
      <c r="M5">
        <f t="shared" si="2"/>
        <v>2.1784020374860837</v>
      </c>
    </row>
    <row r="6" spans="1:13" x14ac:dyDescent="0.25">
      <c r="A6">
        <v>111.12</v>
      </c>
      <c r="B6">
        <v>24.14</v>
      </c>
      <c r="C6">
        <v>6</v>
      </c>
      <c r="D6">
        <v>166.89</v>
      </c>
      <c r="F6" t="b">
        <f t="shared" si="0"/>
        <v>1</v>
      </c>
      <c r="G6">
        <f t="shared" si="1"/>
        <v>241.96975973487986</v>
      </c>
      <c r="M6">
        <f t="shared" si="2"/>
        <v>3.6901947466849654</v>
      </c>
    </row>
    <row r="7" spans="1:13" x14ac:dyDescent="0.25">
      <c r="A7">
        <v>106.94</v>
      </c>
      <c r="B7">
        <v>1.82</v>
      </c>
      <c r="C7">
        <v>0</v>
      </c>
      <c r="D7">
        <v>0.16</v>
      </c>
      <c r="F7" t="b">
        <f t="shared" si="0"/>
        <v>0</v>
      </c>
      <c r="G7">
        <f t="shared" si="1"/>
        <v>0.16</v>
      </c>
      <c r="M7">
        <f t="shared" si="2"/>
        <v>2.4401030943557367E-3</v>
      </c>
    </row>
    <row r="8" spans="1:13" x14ac:dyDescent="0.25">
      <c r="A8">
        <v>85.74</v>
      </c>
      <c r="B8">
        <v>1.6</v>
      </c>
      <c r="C8">
        <v>0</v>
      </c>
      <c r="D8">
        <v>0</v>
      </c>
      <c r="F8" t="b">
        <f t="shared" si="0"/>
        <v>0</v>
      </c>
      <c r="G8">
        <f t="shared" si="1"/>
        <v>0</v>
      </c>
      <c r="M8">
        <f t="shared" si="2"/>
        <v>0</v>
      </c>
    </row>
    <row r="9" spans="1:13" x14ac:dyDescent="0.25">
      <c r="A9">
        <v>104.45</v>
      </c>
      <c r="B9">
        <v>22.4</v>
      </c>
      <c r="C9">
        <v>5</v>
      </c>
      <c r="D9">
        <v>166.94</v>
      </c>
      <c r="F9" t="b">
        <f t="shared" si="0"/>
        <v>1</v>
      </c>
      <c r="G9">
        <f t="shared" si="1"/>
        <v>260.84375</v>
      </c>
      <c r="M9">
        <f t="shared" si="2"/>
        <v>3.9780352594897135</v>
      </c>
    </row>
    <row r="10" spans="1:13" x14ac:dyDescent="0.25">
      <c r="A10">
        <v>71.58</v>
      </c>
      <c r="B10">
        <v>1.56</v>
      </c>
      <c r="C10">
        <v>0</v>
      </c>
      <c r="D10">
        <v>0</v>
      </c>
      <c r="F10" t="b">
        <f t="shared" si="0"/>
        <v>0</v>
      </c>
      <c r="G10">
        <f t="shared" si="1"/>
        <v>0</v>
      </c>
      <c r="M10">
        <f t="shared" si="2"/>
        <v>0</v>
      </c>
    </row>
    <row r="11" spans="1:13" x14ac:dyDescent="0.25">
      <c r="A11">
        <v>93.21</v>
      </c>
      <c r="B11">
        <v>9.52</v>
      </c>
      <c r="C11">
        <v>2</v>
      </c>
      <c r="D11">
        <v>47.36</v>
      </c>
      <c r="F11" t="b">
        <f t="shared" si="0"/>
        <v>0</v>
      </c>
      <c r="G11">
        <f t="shared" si="1"/>
        <v>47.36</v>
      </c>
      <c r="M11">
        <f t="shared" si="2"/>
        <v>0.72227051592929803</v>
      </c>
    </row>
    <row r="12" spans="1:13" x14ac:dyDescent="0.25">
      <c r="A12">
        <v>66.81</v>
      </c>
      <c r="B12">
        <v>24.8</v>
      </c>
      <c r="C12">
        <v>6</v>
      </c>
      <c r="D12">
        <v>166.74</v>
      </c>
      <c r="F12" t="b">
        <f t="shared" si="0"/>
        <v>1</v>
      </c>
      <c r="G12">
        <f t="shared" si="1"/>
        <v>235.31854838709677</v>
      </c>
      <c r="M12">
        <f t="shared" si="2"/>
        <v>3.5887594879915934</v>
      </c>
    </row>
    <row r="13" spans="1:13" x14ac:dyDescent="0.25">
      <c r="A13">
        <v>93.62</v>
      </c>
      <c r="B13">
        <v>18.739999999999998</v>
      </c>
      <c r="C13">
        <v>4</v>
      </c>
      <c r="D13">
        <v>130.69999999999999</v>
      </c>
      <c r="F13" t="b">
        <f t="shared" si="0"/>
        <v>0</v>
      </c>
      <c r="G13">
        <f t="shared" si="1"/>
        <v>130.69999999999999</v>
      </c>
      <c r="M13">
        <f t="shared" si="2"/>
        <v>1.9932592152018422</v>
      </c>
    </row>
    <row r="14" spans="1:13" x14ac:dyDescent="0.25">
      <c r="A14">
        <v>91.1</v>
      </c>
      <c r="B14">
        <v>3.32</v>
      </c>
      <c r="C14">
        <v>0</v>
      </c>
      <c r="D14">
        <v>13.08</v>
      </c>
      <c r="F14" t="b">
        <f t="shared" si="0"/>
        <v>0</v>
      </c>
      <c r="G14">
        <f t="shared" si="1"/>
        <v>13.08</v>
      </c>
      <c r="M14">
        <f t="shared" si="2"/>
        <v>0.19947842796358148</v>
      </c>
    </row>
    <row r="15" spans="1:13" x14ac:dyDescent="0.25">
      <c r="A15">
        <v>92.86</v>
      </c>
      <c r="B15">
        <v>27.08</v>
      </c>
      <c r="C15">
        <v>7</v>
      </c>
      <c r="D15">
        <v>166.97</v>
      </c>
      <c r="F15" t="b">
        <f t="shared" si="0"/>
        <v>1</v>
      </c>
      <c r="G15">
        <f t="shared" si="1"/>
        <v>215.80317577548007</v>
      </c>
      <c r="M15">
        <f t="shared" si="2"/>
        <v>3.291137481134649</v>
      </c>
    </row>
    <row r="16" spans="1:13" x14ac:dyDescent="0.25">
      <c r="A16">
        <v>132.78</v>
      </c>
      <c r="B16">
        <v>31</v>
      </c>
      <c r="C16">
        <v>9</v>
      </c>
      <c r="D16">
        <v>167.06</v>
      </c>
      <c r="F16" t="b">
        <f t="shared" si="0"/>
        <v>1</v>
      </c>
      <c r="G16">
        <f t="shared" si="1"/>
        <v>188.61612903225807</v>
      </c>
      <c r="M16">
        <f t="shared" si="2"/>
        <v>2.8765175006063362</v>
      </c>
    </row>
    <row r="17" spans="1:13" x14ac:dyDescent="0.25">
      <c r="A17">
        <v>116.67</v>
      </c>
      <c r="B17">
        <v>20.260000000000002</v>
      </c>
      <c r="C17">
        <v>4</v>
      </c>
      <c r="D17">
        <v>167.07</v>
      </c>
      <c r="F17" t="b">
        <f t="shared" si="0"/>
        <v>1</v>
      </c>
      <c r="G17">
        <f t="shared" si="1"/>
        <v>288.6204343534057</v>
      </c>
      <c r="M17">
        <f t="shared" si="2"/>
        <v>4.4016475935002628</v>
      </c>
    </row>
    <row r="18" spans="1:13" x14ac:dyDescent="0.25">
      <c r="A18">
        <v>94.46</v>
      </c>
      <c r="B18">
        <v>1.56</v>
      </c>
      <c r="C18">
        <v>0</v>
      </c>
      <c r="D18">
        <v>0</v>
      </c>
      <c r="F18" t="b">
        <f t="shared" si="0"/>
        <v>0</v>
      </c>
      <c r="G18">
        <f t="shared" si="1"/>
        <v>0</v>
      </c>
      <c r="M18">
        <f t="shared" si="2"/>
        <v>0</v>
      </c>
    </row>
    <row r="19" spans="1:13" x14ac:dyDescent="0.25">
      <c r="A19">
        <v>50.96</v>
      </c>
      <c r="B19">
        <v>28.8</v>
      </c>
      <c r="C19">
        <v>8</v>
      </c>
      <c r="D19">
        <v>166.99</v>
      </c>
      <c r="F19" t="b">
        <f t="shared" si="0"/>
        <v>1</v>
      </c>
      <c r="G19">
        <f t="shared" si="1"/>
        <v>202.93923611111111</v>
      </c>
      <c r="M19">
        <f t="shared" si="2"/>
        <v>3.0949541125056981</v>
      </c>
    </row>
    <row r="20" spans="1:13" x14ac:dyDescent="0.25">
      <c r="A20">
        <v>67.87</v>
      </c>
      <c r="B20">
        <v>31.44</v>
      </c>
      <c r="C20">
        <v>9</v>
      </c>
      <c r="D20">
        <v>167.06</v>
      </c>
      <c r="F20" t="b">
        <f t="shared" si="0"/>
        <v>1</v>
      </c>
      <c r="G20">
        <f t="shared" si="1"/>
        <v>185.97646310432569</v>
      </c>
      <c r="M20">
        <f t="shared" si="2"/>
        <v>2.8362608943637535</v>
      </c>
    </row>
    <row r="21" spans="1:13" x14ac:dyDescent="0.25">
      <c r="A21">
        <v>108.67</v>
      </c>
      <c r="B21">
        <v>9.8800000000000008</v>
      </c>
      <c r="C21">
        <v>2</v>
      </c>
      <c r="D21">
        <v>47.52</v>
      </c>
      <c r="F21" t="b">
        <f t="shared" si="0"/>
        <v>0</v>
      </c>
      <c r="G21">
        <f t="shared" si="1"/>
        <v>47.52</v>
      </c>
      <c r="M21">
        <f t="shared" si="2"/>
        <v>0.72471061902365386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I1" t="s">
        <v>24</v>
      </c>
    </row>
    <row r="2" spans="1:13" x14ac:dyDescent="0.25">
      <c r="A2">
        <v>271.77</v>
      </c>
      <c r="B2">
        <v>9.08</v>
      </c>
      <c r="C2">
        <v>2</v>
      </c>
      <c r="D2">
        <v>47.55</v>
      </c>
      <c r="F2" t="b">
        <f t="shared" ref="F2:F21" si="0">(D2&gt;165)</f>
        <v>0</v>
      </c>
      <c r="G2">
        <f t="shared" ref="G2:G21" si="1">IF(F2,D2+((D2/B2)*(35-B2)),D2)</f>
        <v>47.55</v>
      </c>
      <c r="I2">
        <f>_xlfn.T.TEST(G2:G21,control!G2:G21,1,3)</f>
        <v>6.6341823985686499E-2</v>
      </c>
      <c r="M2">
        <f t="shared" ref="M2:M21" si="2">G2/65.571</f>
        <v>0.72516813835384542</v>
      </c>
    </row>
    <row r="3" spans="1:13" x14ac:dyDescent="0.25">
      <c r="A3">
        <v>218.45</v>
      </c>
      <c r="B3">
        <v>23.24</v>
      </c>
      <c r="C3">
        <v>5</v>
      </c>
      <c r="D3">
        <v>130.58000000000001</v>
      </c>
      <c r="F3" t="b">
        <f t="shared" si="0"/>
        <v>0</v>
      </c>
      <c r="G3">
        <f t="shared" si="1"/>
        <v>130.58000000000001</v>
      </c>
      <c r="M3">
        <f t="shared" si="2"/>
        <v>1.9914291378810758</v>
      </c>
    </row>
    <row r="4" spans="1:13" x14ac:dyDescent="0.25">
      <c r="A4">
        <v>260.77</v>
      </c>
      <c r="B4">
        <v>34.26</v>
      </c>
      <c r="C4">
        <v>9</v>
      </c>
      <c r="D4">
        <v>166.87</v>
      </c>
      <c r="F4" t="b">
        <f t="shared" si="0"/>
        <v>1</v>
      </c>
      <c r="G4">
        <f t="shared" si="1"/>
        <v>170.47431406888501</v>
      </c>
      <c r="M4">
        <f t="shared" si="2"/>
        <v>2.5998431329228624</v>
      </c>
    </row>
    <row r="5" spans="1:13" x14ac:dyDescent="0.25">
      <c r="A5">
        <v>238.55</v>
      </c>
      <c r="B5">
        <v>34.54</v>
      </c>
      <c r="C5">
        <v>9</v>
      </c>
      <c r="D5">
        <v>166.86</v>
      </c>
      <c r="F5" t="b">
        <f t="shared" si="0"/>
        <v>1</v>
      </c>
      <c r="G5">
        <f t="shared" si="1"/>
        <v>169.08222350897512</v>
      </c>
      <c r="M5">
        <f t="shared" si="2"/>
        <v>2.5786128549049905</v>
      </c>
    </row>
    <row r="6" spans="1:13" x14ac:dyDescent="0.25">
      <c r="A6">
        <v>230.62</v>
      </c>
      <c r="B6">
        <v>27.82</v>
      </c>
      <c r="C6">
        <v>7</v>
      </c>
      <c r="D6">
        <v>166.85</v>
      </c>
      <c r="F6" t="b">
        <f t="shared" si="0"/>
        <v>1</v>
      </c>
      <c r="G6">
        <f t="shared" si="1"/>
        <v>209.91193386053197</v>
      </c>
      <c r="M6">
        <f t="shared" si="2"/>
        <v>3.2012922459705049</v>
      </c>
    </row>
    <row r="7" spans="1:13" x14ac:dyDescent="0.25">
      <c r="A7">
        <v>229.95</v>
      </c>
      <c r="B7">
        <v>5.56</v>
      </c>
      <c r="C7">
        <v>1</v>
      </c>
      <c r="D7">
        <v>18.59</v>
      </c>
      <c r="F7" t="b">
        <f t="shared" si="0"/>
        <v>0</v>
      </c>
      <c r="G7">
        <f t="shared" si="1"/>
        <v>18.59</v>
      </c>
      <c r="M7">
        <f t="shared" si="2"/>
        <v>0.28350947827545714</v>
      </c>
    </row>
    <row r="8" spans="1:13" x14ac:dyDescent="0.25">
      <c r="A8">
        <v>253.16</v>
      </c>
      <c r="B8">
        <v>1.64</v>
      </c>
      <c r="C8">
        <v>0</v>
      </c>
      <c r="D8">
        <v>0</v>
      </c>
      <c r="F8" t="b">
        <f t="shared" si="0"/>
        <v>0</v>
      </c>
      <c r="G8">
        <f t="shared" si="1"/>
        <v>0</v>
      </c>
      <c r="M8">
        <f t="shared" si="2"/>
        <v>0</v>
      </c>
    </row>
    <row r="9" spans="1:13" x14ac:dyDescent="0.25">
      <c r="A9">
        <v>286.39999999999998</v>
      </c>
      <c r="B9">
        <v>6.26</v>
      </c>
      <c r="C9">
        <v>1</v>
      </c>
      <c r="D9">
        <v>18.88</v>
      </c>
      <c r="F9" t="b">
        <f t="shared" si="0"/>
        <v>0</v>
      </c>
      <c r="G9">
        <f t="shared" si="1"/>
        <v>18.88</v>
      </c>
      <c r="M9">
        <f t="shared" si="2"/>
        <v>0.2879321651339769</v>
      </c>
    </row>
    <row r="10" spans="1:13" x14ac:dyDescent="0.25">
      <c r="A10">
        <v>243.37</v>
      </c>
      <c r="B10">
        <v>9.44</v>
      </c>
      <c r="C10">
        <v>2</v>
      </c>
      <c r="D10">
        <v>47.42</v>
      </c>
      <c r="F10" t="b">
        <f t="shared" si="0"/>
        <v>0</v>
      </c>
      <c r="G10">
        <f t="shared" si="1"/>
        <v>47.42</v>
      </c>
      <c r="M10">
        <f t="shared" si="2"/>
        <v>0.72318555458968148</v>
      </c>
    </row>
    <row r="11" spans="1:13" x14ac:dyDescent="0.25">
      <c r="A11">
        <v>274.60000000000002</v>
      </c>
      <c r="B11">
        <v>25.54</v>
      </c>
      <c r="C11">
        <v>6</v>
      </c>
      <c r="D11">
        <v>166.86</v>
      </c>
      <c r="F11" t="b">
        <f t="shared" si="0"/>
        <v>1</v>
      </c>
      <c r="G11">
        <f t="shared" si="1"/>
        <v>228.66483946750199</v>
      </c>
      <c r="M11">
        <f t="shared" si="2"/>
        <v>3.4872861397188086</v>
      </c>
    </row>
    <row r="12" spans="1:13" x14ac:dyDescent="0.25">
      <c r="A12">
        <v>239.41</v>
      </c>
      <c r="B12">
        <v>30.16</v>
      </c>
      <c r="C12">
        <v>7</v>
      </c>
      <c r="D12">
        <v>166.93</v>
      </c>
      <c r="F12" t="b">
        <f t="shared" si="0"/>
        <v>1</v>
      </c>
      <c r="G12">
        <f t="shared" si="1"/>
        <v>193.71850132625997</v>
      </c>
      <c r="M12">
        <f t="shared" si="2"/>
        <v>2.9543319657510176</v>
      </c>
    </row>
    <row r="13" spans="1:13" x14ac:dyDescent="0.25">
      <c r="A13">
        <v>241.86</v>
      </c>
      <c r="B13">
        <v>26.1</v>
      </c>
      <c r="C13">
        <v>6</v>
      </c>
      <c r="D13">
        <v>167.03</v>
      </c>
      <c r="F13" t="b">
        <f t="shared" si="0"/>
        <v>1</v>
      </c>
      <c r="G13">
        <f t="shared" si="1"/>
        <v>223.98659003831418</v>
      </c>
      <c r="M13">
        <f t="shared" si="2"/>
        <v>3.4159398215417514</v>
      </c>
    </row>
    <row r="14" spans="1:13" x14ac:dyDescent="0.25">
      <c r="A14">
        <v>230.5</v>
      </c>
      <c r="B14">
        <v>2</v>
      </c>
      <c r="C14">
        <v>0</v>
      </c>
      <c r="D14">
        <v>0</v>
      </c>
      <c r="F14" t="b">
        <f t="shared" si="0"/>
        <v>0</v>
      </c>
      <c r="G14">
        <f t="shared" si="1"/>
        <v>0</v>
      </c>
      <c r="M14">
        <f t="shared" si="2"/>
        <v>0</v>
      </c>
    </row>
    <row r="15" spans="1:13" x14ac:dyDescent="0.25">
      <c r="A15">
        <v>208.65</v>
      </c>
      <c r="B15">
        <v>1.6</v>
      </c>
      <c r="C15">
        <v>0</v>
      </c>
      <c r="D15">
        <v>0</v>
      </c>
      <c r="F15" t="b">
        <f t="shared" si="0"/>
        <v>0</v>
      </c>
      <c r="G15">
        <f t="shared" si="1"/>
        <v>0</v>
      </c>
      <c r="M15">
        <f t="shared" si="2"/>
        <v>0</v>
      </c>
    </row>
    <row r="16" spans="1:13" x14ac:dyDescent="0.25">
      <c r="A16">
        <v>240.15</v>
      </c>
      <c r="B16">
        <v>5.7</v>
      </c>
      <c r="C16">
        <v>1</v>
      </c>
      <c r="D16">
        <v>18.600000000000001</v>
      </c>
      <c r="F16" t="b">
        <f t="shared" si="0"/>
        <v>0</v>
      </c>
      <c r="G16">
        <f t="shared" si="1"/>
        <v>18.600000000000001</v>
      </c>
      <c r="M16">
        <f t="shared" si="2"/>
        <v>0.2836619847188544</v>
      </c>
    </row>
    <row r="17" spans="1:13" x14ac:dyDescent="0.25">
      <c r="A17">
        <v>240.55</v>
      </c>
      <c r="B17">
        <v>6.88</v>
      </c>
      <c r="C17">
        <v>1</v>
      </c>
      <c r="D17">
        <v>47.65</v>
      </c>
      <c r="F17" t="b">
        <f t="shared" si="0"/>
        <v>0</v>
      </c>
      <c r="G17">
        <f t="shared" si="1"/>
        <v>47.65</v>
      </c>
      <c r="M17">
        <f t="shared" si="2"/>
        <v>0.72669320278781779</v>
      </c>
    </row>
    <row r="18" spans="1:13" x14ac:dyDescent="0.25">
      <c r="A18">
        <v>234.19</v>
      </c>
      <c r="B18">
        <v>36.26</v>
      </c>
      <c r="C18">
        <v>9</v>
      </c>
      <c r="D18">
        <v>166.91</v>
      </c>
      <c r="F18" t="b">
        <f t="shared" si="0"/>
        <v>1</v>
      </c>
      <c r="G18">
        <f t="shared" si="1"/>
        <v>161.11003861003863</v>
      </c>
      <c r="M18">
        <f t="shared" si="2"/>
        <v>2.4570318984007966</v>
      </c>
    </row>
    <row r="19" spans="1:13" x14ac:dyDescent="0.25">
      <c r="A19">
        <v>230.47</v>
      </c>
      <c r="B19">
        <v>34.82</v>
      </c>
      <c r="C19">
        <v>9</v>
      </c>
      <c r="D19">
        <v>166.87</v>
      </c>
      <c r="F19" t="b">
        <f t="shared" si="0"/>
        <v>1</v>
      </c>
      <c r="G19">
        <f t="shared" si="1"/>
        <v>167.7326249282022</v>
      </c>
      <c r="M19">
        <f t="shared" si="2"/>
        <v>2.5580306069482273</v>
      </c>
    </row>
    <row r="20" spans="1:13" x14ac:dyDescent="0.25">
      <c r="A20">
        <v>230.53</v>
      </c>
      <c r="B20">
        <v>27.12</v>
      </c>
      <c r="C20">
        <v>6</v>
      </c>
      <c r="D20">
        <v>167.03</v>
      </c>
      <c r="F20" t="b">
        <f t="shared" si="0"/>
        <v>1</v>
      </c>
      <c r="G20">
        <f t="shared" si="1"/>
        <v>215.56231563421829</v>
      </c>
      <c r="M20">
        <f t="shared" si="2"/>
        <v>3.2874642087846504</v>
      </c>
    </row>
    <row r="21" spans="1:13" x14ac:dyDescent="0.25">
      <c r="A21">
        <v>260.08999999999997</v>
      </c>
      <c r="B21">
        <v>9.76</v>
      </c>
      <c r="C21">
        <v>2</v>
      </c>
      <c r="D21">
        <v>47.59</v>
      </c>
      <c r="F21" t="b">
        <f t="shared" si="0"/>
        <v>0</v>
      </c>
      <c r="G21">
        <f t="shared" si="1"/>
        <v>47.59</v>
      </c>
      <c r="M21">
        <f t="shared" si="2"/>
        <v>0.72577816412743446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I1" t="s">
        <v>26</v>
      </c>
    </row>
    <row r="2" spans="1:13" x14ac:dyDescent="0.25">
      <c r="A2">
        <v>207.52</v>
      </c>
      <c r="B2">
        <v>1.48</v>
      </c>
      <c r="C2">
        <v>0</v>
      </c>
      <c r="D2">
        <v>0</v>
      </c>
      <c r="F2" t="b">
        <f t="shared" ref="F2:F21" si="0">(D2&gt;165)</f>
        <v>0</v>
      </c>
      <c r="G2">
        <f t="shared" ref="G2:G21" si="1">IF(F2,D2+((D2/B2)*(35-B2)),D2)</f>
        <v>0</v>
      </c>
      <c r="I2" s="1">
        <f>_xlfn.T.TEST(G2:G21,'early-termination'!G2:G21,1,3)</f>
        <v>0.24977244583500585</v>
      </c>
      <c r="M2">
        <f t="shared" ref="M2:M21" si="2">G2/65.571</f>
        <v>0</v>
      </c>
    </row>
    <row r="3" spans="1:13" x14ac:dyDescent="0.25">
      <c r="A3">
        <v>187.75</v>
      </c>
      <c r="B3">
        <v>33.06</v>
      </c>
      <c r="C3">
        <v>9</v>
      </c>
      <c r="D3">
        <v>167.17</v>
      </c>
      <c r="F3" t="b">
        <f t="shared" si="0"/>
        <v>1</v>
      </c>
      <c r="G3">
        <f t="shared" si="1"/>
        <v>176.97973381730185</v>
      </c>
      <c r="M3">
        <f t="shared" si="2"/>
        <v>2.6990549757865803</v>
      </c>
    </row>
    <row r="4" spans="1:13" x14ac:dyDescent="0.25">
      <c r="A4">
        <v>203.45</v>
      </c>
      <c r="B4">
        <v>26.88</v>
      </c>
      <c r="C4">
        <v>6</v>
      </c>
      <c r="D4">
        <v>166.9</v>
      </c>
      <c r="F4" t="b">
        <f t="shared" si="0"/>
        <v>1</v>
      </c>
      <c r="G4">
        <f t="shared" si="1"/>
        <v>217.31770833333334</v>
      </c>
      <c r="M4">
        <f t="shared" si="2"/>
        <v>3.3142350785154009</v>
      </c>
    </row>
    <row r="5" spans="1:13" x14ac:dyDescent="0.25">
      <c r="A5">
        <v>184.6</v>
      </c>
      <c r="B5">
        <v>28.58</v>
      </c>
      <c r="C5">
        <v>7</v>
      </c>
      <c r="D5">
        <v>166.95</v>
      </c>
      <c r="F5" t="b">
        <f t="shared" si="0"/>
        <v>1</v>
      </c>
      <c r="G5">
        <f t="shared" si="1"/>
        <v>204.45241427571727</v>
      </c>
      <c r="M5">
        <f t="shared" si="2"/>
        <v>3.118031054516742</v>
      </c>
    </row>
    <row r="6" spans="1:13" x14ac:dyDescent="0.25">
      <c r="A6">
        <v>250.53</v>
      </c>
      <c r="B6">
        <v>20.12</v>
      </c>
      <c r="C6">
        <v>4</v>
      </c>
      <c r="D6">
        <v>130.69</v>
      </c>
      <c r="F6" t="b">
        <f t="shared" si="0"/>
        <v>0</v>
      </c>
      <c r="G6">
        <f t="shared" si="1"/>
        <v>130.69</v>
      </c>
      <c r="M6">
        <f t="shared" si="2"/>
        <v>1.9931067087584451</v>
      </c>
    </row>
    <row r="7" spans="1:13" x14ac:dyDescent="0.25">
      <c r="A7">
        <v>228.4</v>
      </c>
      <c r="B7">
        <v>1.98</v>
      </c>
      <c r="C7">
        <v>0</v>
      </c>
      <c r="D7">
        <v>0</v>
      </c>
      <c r="F7" t="b">
        <f t="shared" si="0"/>
        <v>0</v>
      </c>
      <c r="G7">
        <f t="shared" si="1"/>
        <v>0</v>
      </c>
      <c r="M7">
        <f t="shared" si="2"/>
        <v>0</v>
      </c>
    </row>
    <row r="8" spans="1:13" x14ac:dyDescent="0.25">
      <c r="A8">
        <v>210.48</v>
      </c>
      <c r="B8">
        <v>1.98</v>
      </c>
      <c r="C8">
        <v>0</v>
      </c>
      <c r="D8">
        <v>0</v>
      </c>
      <c r="F8" t="b">
        <f t="shared" si="0"/>
        <v>0</v>
      </c>
      <c r="G8">
        <f t="shared" si="1"/>
        <v>0</v>
      </c>
      <c r="M8">
        <f t="shared" si="2"/>
        <v>0</v>
      </c>
    </row>
    <row r="9" spans="1:13" x14ac:dyDescent="0.25">
      <c r="A9">
        <v>204.64</v>
      </c>
      <c r="B9">
        <v>17.5</v>
      </c>
      <c r="C9">
        <v>1</v>
      </c>
      <c r="D9">
        <v>167.13</v>
      </c>
      <c r="F9" t="b">
        <f t="shared" si="0"/>
        <v>1</v>
      </c>
      <c r="G9">
        <f t="shared" si="1"/>
        <v>334.26</v>
      </c>
      <c r="M9">
        <f t="shared" si="2"/>
        <v>5.0976803769959282</v>
      </c>
    </row>
    <row r="10" spans="1:13" x14ac:dyDescent="0.25">
      <c r="A10">
        <v>205.53</v>
      </c>
      <c r="B10">
        <v>10.54</v>
      </c>
      <c r="C10">
        <v>2</v>
      </c>
      <c r="D10">
        <v>47.76</v>
      </c>
      <c r="F10" t="b">
        <f t="shared" si="0"/>
        <v>0</v>
      </c>
      <c r="G10">
        <f t="shared" si="1"/>
        <v>47.76</v>
      </c>
      <c r="M10">
        <f t="shared" si="2"/>
        <v>0.72837077366518732</v>
      </c>
    </row>
    <row r="11" spans="1:13" x14ac:dyDescent="0.25">
      <c r="A11">
        <v>192.6</v>
      </c>
      <c r="B11">
        <v>4.78</v>
      </c>
      <c r="C11">
        <v>1</v>
      </c>
      <c r="D11">
        <v>18.87</v>
      </c>
      <c r="F11" t="b">
        <f t="shared" si="0"/>
        <v>0</v>
      </c>
      <c r="G11">
        <f t="shared" si="1"/>
        <v>18.87</v>
      </c>
      <c r="M11">
        <f t="shared" si="2"/>
        <v>0.2877796586905797</v>
      </c>
    </row>
    <row r="12" spans="1:13" x14ac:dyDescent="0.25">
      <c r="A12">
        <v>195.83</v>
      </c>
      <c r="B12">
        <v>26.04</v>
      </c>
      <c r="C12">
        <v>6</v>
      </c>
      <c r="D12">
        <v>167.03</v>
      </c>
      <c r="F12" t="b">
        <f t="shared" si="0"/>
        <v>1</v>
      </c>
      <c r="G12">
        <f t="shared" si="1"/>
        <v>224.50268817204301</v>
      </c>
      <c r="M12">
        <f t="shared" si="2"/>
        <v>3.4238106506236448</v>
      </c>
    </row>
    <row r="13" spans="1:13" x14ac:dyDescent="0.25">
      <c r="A13">
        <v>215.54</v>
      </c>
      <c r="B13">
        <v>25.5</v>
      </c>
      <c r="C13">
        <v>6</v>
      </c>
      <c r="D13">
        <v>142.65</v>
      </c>
      <c r="F13" t="b">
        <f t="shared" si="0"/>
        <v>0</v>
      </c>
      <c r="G13">
        <f t="shared" si="1"/>
        <v>142.65</v>
      </c>
      <c r="M13">
        <f t="shared" si="2"/>
        <v>2.1755044150615364</v>
      </c>
    </row>
    <row r="14" spans="1:13" x14ac:dyDescent="0.25">
      <c r="A14">
        <v>168.14</v>
      </c>
      <c r="B14">
        <v>26.12</v>
      </c>
      <c r="C14">
        <v>6</v>
      </c>
      <c r="D14">
        <v>167.07</v>
      </c>
      <c r="F14" t="b">
        <f t="shared" si="0"/>
        <v>1</v>
      </c>
      <c r="G14">
        <f t="shared" si="1"/>
        <v>223.86868300153139</v>
      </c>
      <c r="M14">
        <f t="shared" si="2"/>
        <v>3.4141416632586266</v>
      </c>
    </row>
    <row r="15" spans="1:13" x14ac:dyDescent="0.25">
      <c r="A15">
        <v>191.91</v>
      </c>
      <c r="B15">
        <v>7.88</v>
      </c>
      <c r="C15">
        <v>1</v>
      </c>
      <c r="D15">
        <v>48</v>
      </c>
      <c r="F15" t="b">
        <f t="shared" si="0"/>
        <v>0</v>
      </c>
      <c r="G15">
        <f t="shared" si="1"/>
        <v>48</v>
      </c>
      <c r="M15">
        <f t="shared" si="2"/>
        <v>0.73203092830672101</v>
      </c>
    </row>
    <row r="16" spans="1:13" x14ac:dyDescent="0.25">
      <c r="A16">
        <v>187.07</v>
      </c>
      <c r="B16">
        <v>31.22</v>
      </c>
      <c r="C16">
        <v>8</v>
      </c>
      <c r="D16">
        <v>167.17</v>
      </c>
      <c r="F16" t="b">
        <f t="shared" si="0"/>
        <v>1</v>
      </c>
      <c r="G16">
        <f t="shared" si="1"/>
        <v>187.41031390134529</v>
      </c>
      <c r="M16">
        <f t="shared" si="2"/>
        <v>2.8581280429053284</v>
      </c>
    </row>
    <row r="17" spans="1:13" x14ac:dyDescent="0.25">
      <c r="A17">
        <v>162.66999999999999</v>
      </c>
      <c r="B17">
        <v>25.98</v>
      </c>
      <c r="C17">
        <v>5</v>
      </c>
      <c r="D17">
        <v>167.19</v>
      </c>
      <c r="F17" t="b">
        <f t="shared" si="0"/>
        <v>1</v>
      </c>
      <c r="G17">
        <f t="shared" si="1"/>
        <v>225.23672055427249</v>
      </c>
      <c r="M17">
        <f t="shared" si="2"/>
        <v>3.4350051174188665</v>
      </c>
    </row>
    <row r="18" spans="1:13" x14ac:dyDescent="0.25">
      <c r="A18">
        <v>211.96</v>
      </c>
      <c r="B18">
        <v>7.78</v>
      </c>
      <c r="C18">
        <v>1</v>
      </c>
      <c r="D18">
        <v>47.55</v>
      </c>
      <c r="F18" t="b">
        <f t="shared" si="0"/>
        <v>0</v>
      </c>
      <c r="G18">
        <f t="shared" si="1"/>
        <v>47.55</v>
      </c>
      <c r="M18">
        <f t="shared" si="2"/>
        <v>0.72516813835384542</v>
      </c>
    </row>
    <row r="19" spans="1:13" x14ac:dyDescent="0.25">
      <c r="A19">
        <v>171.61</v>
      </c>
      <c r="B19">
        <v>21.64</v>
      </c>
      <c r="C19">
        <v>4</v>
      </c>
      <c r="D19">
        <v>166.98</v>
      </c>
      <c r="F19" t="b">
        <f t="shared" si="0"/>
        <v>1</v>
      </c>
      <c r="G19">
        <f t="shared" si="1"/>
        <v>270.06931608133084</v>
      </c>
      <c r="M19">
        <f t="shared" si="2"/>
        <v>4.1187310866287055</v>
      </c>
    </row>
    <row r="20" spans="1:13" x14ac:dyDescent="0.25">
      <c r="A20">
        <v>182.65</v>
      </c>
      <c r="B20">
        <v>5.34</v>
      </c>
      <c r="C20">
        <v>1</v>
      </c>
      <c r="D20">
        <v>18.809999999999999</v>
      </c>
      <c r="F20" t="b">
        <f t="shared" si="0"/>
        <v>0</v>
      </c>
      <c r="G20">
        <f t="shared" si="1"/>
        <v>18.809999999999999</v>
      </c>
      <c r="M20">
        <f t="shared" si="2"/>
        <v>0.28686462003019625</v>
      </c>
    </row>
    <row r="21" spans="1:13" x14ac:dyDescent="0.25">
      <c r="A21">
        <v>170.15</v>
      </c>
      <c r="B21">
        <v>5.68</v>
      </c>
      <c r="C21">
        <v>1</v>
      </c>
      <c r="D21">
        <v>18.600000000000001</v>
      </c>
      <c r="F21" t="b">
        <f t="shared" si="0"/>
        <v>0</v>
      </c>
      <c r="G21">
        <f t="shared" si="1"/>
        <v>18.600000000000001</v>
      </c>
      <c r="M21">
        <f t="shared" si="2"/>
        <v>0.2836619847188544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572.34</v>
      </c>
      <c r="B2">
        <v>10.32</v>
      </c>
      <c r="C2">
        <v>2</v>
      </c>
      <c r="D2">
        <v>47.58</v>
      </c>
      <c r="F2" t="b">
        <f t="shared" ref="F2:F21" si="0">(D2&gt;165)</f>
        <v>0</v>
      </c>
      <c r="G2">
        <f t="shared" ref="G2:G21" si="1">IF(F2,D2+((D2/B2)*(35-B2)),D2)</f>
        <v>47.58</v>
      </c>
      <c r="M2">
        <f t="shared" ref="M2:M21" si="2">G2/65.571</f>
        <v>0.7256256576840372</v>
      </c>
    </row>
    <row r="3" spans="1:13" x14ac:dyDescent="0.25">
      <c r="A3">
        <v>409.29</v>
      </c>
      <c r="B3">
        <v>5.88</v>
      </c>
      <c r="C3">
        <v>1</v>
      </c>
      <c r="D3">
        <v>18.600000000000001</v>
      </c>
      <c r="F3" t="b">
        <f t="shared" si="0"/>
        <v>0</v>
      </c>
      <c r="G3">
        <f t="shared" si="1"/>
        <v>18.600000000000001</v>
      </c>
      <c r="M3">
        <f t="shared" si="2"/>
        <v>0.2836619847188544</v>
      </c>
    </row>
    <row r="4" spans="1:13" x14ac:dyDescent="0.25">
      <c r="A4">
        <v>532.09</v>
      </c>
      <c r="B4">
        <v>6.48</v>
      </c>
      <c r="C4">
        <v>1</v>
      </c>
      <c r="D4">
        <v>18.97</v>
      </c>
      <c r="F4" t="b">
        <f t="shared" si="0"/>
        <v>0</v>
      </c>
      <c r="G4">
        <f t="shared" si="1"/>
        <v>18.97</v>
      </c>
      <c r="M4">
        <f t="shared" si="2"/>
        <v>0.28930472312455202</v>
      </c>
    </row>
    <row r="5" spans="1:13" x14ac:dyDescent="0.25">
      <c r="A5">
        <v>605.54</v>
      </c>
      <c r="B5">
        <v>6</v>
      </c>
      <c r="C5">
        <v>1</v>
      </c>
      <c r="D5">
        <v>18.96</v>
      </c>
      <c r="F5" t="b">
        <f t="shared" si="0"/>
        <v>0</v>
      </c>
      <c r="G5">
        <f t="shared" si="1"/>
        <v>18.96</v>
      </c>
      <c r="M5">
        <f t="shared" si="2"/>
        <v>0.28915221668115482</v>
      </c>
    </row>
    <row r="6" spans="1:13" x14ac:dyDescent="0.25">
      <c r="A6">
        <v>422.71</v>
      </c>
      <c r="B6">
        <v>17.68</v>
      </c>
      <c r="C6">
        <v>4</v>
      </c>
      <c r="D6">
        <v>102.72</v>
      </c>
      <c r="F6" t="b">
        <f t="shared" si="0"/>
        <v>0</v>
      </c>
      <c r="G6">
        <f t="shared" si="1"/>
        <v>102.72</v>
      </c>
      <c r="M6">
        <f t="shared" si="2"/>
        <v>1.5665461865763828</v>
      </c>
    </row>
    <row r="7" spans="1:13" x14ac:dyDescent="0.25">
      <c r="A7">
        <v>489.35</v>
      </c>
      <c r="B7">
        <v>25.38</v>
      </c>
      <c r="C7">
        <v>4</v>
      </c>
      <c r="D7">
        <v>167.1</v>
      </c>
      <c r="F7" t="b">
        <f t="shared" si="0"/>
        <v>1</v>
      </c>
      <c r="G7">
        <f t="shared" si="1"/>
        <v>230.43735224586288</v>
      </c>
      <c r="M7">
        <f t="shared" si="2"/>
        <v>3.5143181016892053</v>
      </c>
    </row>
    <row r="8" spans="1:13" x14ac:dyDescent="0.25">
      <c r="A8">
        <v>521.61</v>
      </c>
      <c r="B8">
        <v>9.6999999999999993</v>
      </c>
      <c r="C8">
        <v>2</v>
      </c>
      <c r="D8">
        <v>47.61</v>
      </c>
      <c r="F8" t="b">
        <f t="shared" si="0"/>
        <v>0</v>
      </c>
      <c r="G8">
        <f t="shared" si="1"/>
        <v>47.61</v>
      </c>
      <c r="M8">
        <f t="shared" si="2"/>
        <v>0.72608317701422886</v>
      </c>
    </row>
    <row r="9" spans="1:13" x14ac:dyDescent="0.25">
      <c r="A9">
        <v>530.04999999999995</v>
      </c>
      <c r="B9">
        <v>5.86</v>
      </c>
      <c r="C9">
        <v>1</v>
      </c>
      <c r="D9">
        <v>18.670000000000002</v>
      </c>
      <c r="F9" t="b">
        <f t="shared" si="0"/>
        <v>0</v>
      </c>
      <c r="G9">
        <f t="shared" si="1"/>
        <v>18.670000000000002</v>
      </c>
      <c r="M9">
        <f t="shared" si="2"/>
        <v>0.28472952982263505</v>
      </c>
    </row>
    <row r="10" spans="1:13" x14ac:dyDescent="0.25">
      <c r="A10">
        <v>566.79999999999995</v>
      </c>
      <c r="B10">
        <v>5.9</v>
      </c>
      <c r="C10">
        <v>1</v>
      </c>
      <c r="D10">
        <v>18.579999999999998</v>
      </c>
      <c r="F10" t="b">
        <f t="shared" si="0"/>
        <v>0</v>
      </c>
      <c r="G10">
        <f t="shared" si="1"/>
        <v>18.579999999999998</v>
      </c>
      <c r="M10">
        <f t="shared" si="2"/>
        <v>0.28335697183205988</v>
      </c>
    </row>
    <row r="11" spans="1:13" x14ac:dyDescent="0.25">
      <c r="A11">
        <v>541.91999999999996</v>
      </c>
      <c r="B11">
        <v>10.88</v>
      </c>
      <c r="C11">
        <v>2</v>
      </c>
      <c r="D11">
        <v>47.38</v>
      </c>
      <c r="F11" t="b">
        <f t="shared" si="0"/>
        <v>0</v>
      </c>
      <c r="G11">
        <f t="shared" si="1"/>
        <v>47.38</v>
      </c>
      <c r="M11">
        <f t="shared" si="2"/>
        <v>0.72257552881609255</v>
      </c>
    </row>
    <row r="12" spans="1:13" x14ac:dyDescent="0.25">
      <c r="A12">
        <v>433.27</v>
      </c>
      <c r="B12">
        <v>10.039999999999999</v>
      </c>
      <c r="C12">
        <v>2</v>
      </c>
      <c r="D12">
        <v>47.42</v>
      </c>
      <c r="F12" t="b">
        <f t="shared" si="0"/>
        <v>0</v>
      </c>
      <c r="G12">
        <f t="shared" si="1"/>
        <v>47.42</v>
      </c>
      <c r="M12">
        <f t="shared" si="2"/>
        <v>0.72318555458968148</v>
      </c>
    </row>
    <row r="13" spans="1:13" x14ac:dyDescent="0.25">
      <c r="A13">
        <v>542.41999999999996</v>
      </c>
      <c r="B13">
        <v>5.32</v>
      </c>
      <c r="C13">
        <v>1</v>
      </c>
      <c r="D13">
        <v>18.600000000000001</v>
      </c>
      <c r="F13" t="b">
        <f t="shared" si="0"/>
        <v>0</v>
      </c>
      <c r="G13">
        <f t="shared" si="1"/>
        <v>18.600000000000001</v>
      </c>
      <c r="M13">
        <f t="shared" si="2"/>
        <v>0.2836619847188544</v>
      </c>
    </row>
    <row r="14" spans="1:13" x14ac:dyDescent="0.25">
      <c r="A14">
        <v>488.64</v>
      </c>
      <c r="B14">
        <v>9.06</v>
      </c>
      <c r="C14">
        <v>2</v>
      </c>
      <c r="D14">
        <v>47.51</v>
      </c>
      <c r="F14" t="b">
        <f t="shared" si="0"/>
        <v>0</v>
      </c>
      <c r="G14">
        <f t="shared" si="1"/>
        <v>47.51</v>
      </c>
      <c r="M14">
        <f t="shared" si="2"/>
        <v>0.72455811258025649</v>
      </c>
    </row>
    <row r="15" spans="1:13" x14ac:dyDescent="0.25">
      <c r="A15">
        <v>532.03</v>
      </c>
      <c r="B15">
        <v>1.74</v>
      </c>
      <c r="C15">
        <v>0</v>
      </c>
      <c r="D15">
        <v>0</v>
      </c>
      <c r="F15" t="b">
        <f t="shared" si="0"/>
        <v>0</v>
      </c>
      <c r="G15">
        <f t="shared" si="1"/>
        <v>0</v>
      </c>
      <c r="M15">
        <f t="shared" si="2"/>
        <v>0</v>
      </c>
    </row>
    <row r="16" spans="1:13" x14ac:dyDescent="0.25">
      <c r="A16">
        <v>465.45</v>
      </c>
      <c r="B16">
        <v>6.74</v>
      </c>
      <c r="C16">
        <v>0</v>
      </c>
      <c r="D16">
        <v>49.49</v>
      </c>
      <c r="F16" t="b">
        <f t="shared" si="0"/>
        <v>0</v>
      </c>
      <c r="G16">
        <f t="shared" si="1"/>
        <v>49.49</v>
      </c>
      <c r="M16">
        <f t="shared" si="2"/>
        <v>0.75475438837290876</v>
      </c>
    </row>
    <row r="17" spans="1:13" x14ac:dyDescent="0.25">
      <c r="A17">
        <v>503.75</v>
      </c>
      <c r="B17">
        <v>17.02</v>
      </c>
      <c r="C17">
        <v>3</v>
      </c>
      <c r="D17">
        <v>130.76</v>
      </c>
      <c r="F17" t="b">
        <f t="shared" si="0"/>
        <v>0</v>
      </c>
      <c r="G17">
        <f t="shared" si="1"/>
        <v>130.76</v>
      </c>
      <c r="M17">
        <f t="shared" si="2"/>
        <v>1.9941742538622256</v>
      </c>
    </row>
    <row r="18" spans="1:13" x14ac:dyDescent="0.25">
      <c r="A18">
        <v>501.79</v>
      </c>
      <c r="B18">
        <v>18.82</v>
      </c>
      <c r="C18">
        <v>4</v>
      </c>
      <c r="D18">
        <v>130.79</v>
      </c>
      <c r="F18" t="b">
        <f t="shared" si="0"/>
        <v>0</v>
      </c>
      <c r="G18">
        <f t="shared" si="1"/>
        <v>130.79</v>
      </c>
      <c r="M18">
        <f t="shared" si="2"/>
        <v>1.9946317731924172</v>
      </c>
    </row>
    <row r="19" spans="1:13" x14ac:dyDescent="0.25">
      <c r="A19">
        <v>515.57000000000005</v>
      </c>
      <c r="B19">
        <v>19.760000000000002</v>
      </c>
      <c r="C19">
        <v>4</v>
      </c>
      <c r="D19">
        <v>130.9</v>
      </c>
      <c r="F19" t="b">
        <f t="shared" si="0"/>
        <v>0</v>
      </c>
      <c r="G19">
        <f t="shared" si="1"/>
        <v>130.9</v>
      </c>
      <c r="M19">
        <f t="shared" si="2"/>
        <v>1.996309344069787</v>
      </c>
    </row>
    <row r="20" spans="1:13" x14ac:dyDescent="0.25">
      <c r="A20">
        <v>548.07000000000005</v>
      </c>
      <c r="B20">
        <v>9.94</v>
      </c>
      <c r="C20">
        <v>2</v>
      </c>
      <c r="D20">
        <v>47.41</v>
      </c>
      <c r="F20" t="b">
        <f t="shared" si="0"/>
        <v>0</v>
      </c>
      <c r="G20">
        <f t="shared" si="1"/>
        <v>47.41</v>
      </c>
      <c r="M20">
        <f t="shared" si="2"/>
        <v>0.72303304814628411</v>
      </c>
    </row>
    <row r="21" spans="1:13" x14ac:dyDescent="0.25">
      <c r="A21">
        <v>464.19</v>
      </c>
      <c r="B21">
        <v>10.34</v>
      </c>
      <c r="C21">
        <v>2</v>
      </c>
      <c r="D21">
        <v>47.86</v>
      </c>
      <c r="F21" t="b">
        <f t="shared" si="0"/>
        <v>0</v>
      </c>
      <c r="G21">
        <f t="shared" si="1"/>
        <v>47.86</v>
      </c>
      <c r="M21">
        <f t="shared" si="2"/>
        <v>0.7298958380991597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5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I1" t="s">
        <v>27</v>
      </c>
      <c r="J1" t="s">
        <v>24</v>
      </c>
    </row>
    <row r="2" spans="1:13" x14ac:dyDescent="0.25">
      <c r="A2">
        <v>169.97</v>
      </c>
      <c r="B2">
        <v>20.38</v>
      </c>
      <c r="C2">
        <v>4</v>
      </c>
      <c r="D2">
        <v>131.96</v>
      </c>
      <c r="F2" t="b">
        <f t="shared" ref="F2:F21" si="0">(D2&gt;165)</f>
        <v>0</v>
      </c>
      <c r="G2">
        <f t="shared" ref="G2:G21" si="1">IF(F2,D2+((D2/B2)*(35-B2)),D2)</f>
        <v>131.96</v>
      </c>
      <c r="I2">
        <f>_xlfn.T.TEST(G2:G21,'spatial-state'!G2:G21,1,3)</f>
        <v>0.18806886374654891</v>
      </c>
      <c r="J2">
        <f>_xlfn.T.TEST(G2:G21,control!G2:G21,1,3)</f>
        <v>0.49384568165562992</v>
      </c>
      <c r="M2">
        <f t="shared" ref="M2:M21" si="2">G2/65.571</f>
        <v>2.0124750270698937</v>
      </c>
    </row>
    <row r="3" spans="1:13" x14ac:dyDescent="0.25">
      <c r="A3">
        <v>162.83000000000001</v>
      </c>
      <c r="B3">
        <v>9.68</v>
      </c>
      <c r="C3">
        <v>2</v>
      </c>
      <c r="D3">
        <v>47.68</v>
      </c>
      <c r="F3" t="b">
        <f t="shared" si="0"/>
        <v>0</v>
      </c>
      <c r="G3">
        <f t="shared" si="1"/>
        <v>47.68</v>
      </c>
      <c r="M3">
        <f t="shared" si="2"/>
        <v>0.72715072211800946</v>
      </c>
    </row>
    <row r="4" spans="1:13" x14ac:dyDescent="0.25">
      <c r="A4">
        <v>154.94999999999999</v>
      </c>
      <c r="B4">
        <v>5.22</v>
      </c>
      <c r="C4">
        <v>1</v>
      </c>
      <c r="D4">
        <v>18.96</v>
      </c>
      <c r="F4" t="b">
        <f t="shared" si="0"/>
        <v>0</v>
      </c>
      <c r="G4">
        <f t="shared" si="1"/>
        <v>18.96</v>
      </c>
      <c r="M4">
        <f t="shared" si="2"/>
        <v>0.28915221668115482</v>
      </c>
    </row>
    <row r="5" spans="1:13" x14ac:dyDescent="0.25">
      <c r="A5">
        <v>169.94</v>
      </c>
      <c r="B5">
        <v>4.9400000000000004</v>
      </c>
      <c r="C5">
        <v>1</v>
      </c>
      <c r="D5">
        <v>18.600000000000001</v>
      </c>
      <c r="F5" t="b">
        <f t="shared" si="0"/>
        <v>0</v>
      </c>
      <c r="G5">
        <f t="shared" si="1"/>
        <v>18.600000000000001</v>
      </c>
      <c r="M5">
        <f t="shared" si="2"/>
        <v>0.2836619847188544</v>
      </c>
    </row>
    <row r="6" spans="1:13" x14ac:dyDescent="0.25">
      <c r="A6">
        <v>126.12</v>
      </c>
      <c r="B6">
        <v>10.44</v>
      </c>
      <c r="C6">
        <v>2</v>
      </c>
      <c r="D6">
        <v>48.11</v>
      </c>
      <c r="F6" t="b">
        <f t="shared" si="0"/>
        <v>0</v>
      </c>
      <c r="G6">
        <f t="shared" si="1"/>
        <v>48.11</v>
      </c>
      <c r="M6">
        <f t="shared" si="2"/>
        <v>0.73370849918409053</v>
      </c>
    </row>
    <row r="7" spans="1:13" x14ac:dyDescent="0.25">
      <c r="A7">
        <v>156.76</v>
      </c>
      <c r="B7">
        <v>16.079999999999998</v>
      </c>
      <c r="C7">
        <v>3</v>
      </c>
      <c r="D7">
        <v>103.83</v>
      </c>
      <c r="F7" t="b">
        <f t="shared" si="0"/>
        <v>0</v>
      </c>
      <c r="G7">
        <f t="shared" si="1"/>
        <v>103.83</v>
      </c>
      <c r="M7">
        <f t="shared" si="2"/>
        <v>1.5834744017934759</v>
      </c>
    </row>
    <row r="8" spans="1:13" x14ac:dyDescent="0.25">
      <c r="A8">
        <v>153.05000000000001</v>
      </c>
      <c r="B8">
        <v>33.840000000000003</v>
      </c>
      <c r="C8">
        <v>9</v>
      </c>
      <c r="D8">
        <v>166.86</v>
      </c>
      <c r="F8" t="b">
        <f t="shared" si="0"/>
        <v>1</v>
      </c>
      <c r="G8">
        <f t="shared" si="1"/>
        <v>172.57978723404256</v>
      </c>
      <c r="M8">
        <f t="shared" si="2"/>
        <v>2.6319529553315117</v>
      </c>
    </row>
    <row r="9" spans="1:13" x14ac:dyDescent="0.25">
      <c r="A9">
        <v>142.29</v>
      </c>
      <c r="B9">
        <v>5.66</v>
      </c>
      <c r="C9">
        <v>1</v>
      </c>
      <c r="D9">
        <v>18.59</v>
      </c>
      <c r="F9" t="b">
        <f t="shared" si="0"/>
        <v>0</v>
      </c>
      <c r="G9">
        <f t="shared" si="1"/>
        <v>18.59</v>
      </c>
      <c r="M9">
        <f t="shared" si="2"/>
        <v>0.28350947827545714</v>
      </c>
    </row>
    <row r="10" spans="1:13" x14ac:dyDescent="0.25">
      <c r="A10">
        <v>147.24</v>
      </c>
      <c r="B10">
        <v>10.58</v>
      </c>
      <c r="C10">
        <v>2</v>
      </c>
      <c r="D10">
        <v>55.68</v>
      </c>
      <c r="F10" t="b">
        <f t="shared" si="0"/>
        <v>0</v>
      </c>
      <c r="G10">
        <f t="shared" si="1"/>
        <v>55.68</v>
      </c>
      <c r="M10">
        <f t="shared" si="2"/>
        <v>0.8491558768357963</v>
      </c>
    </row>
    <row r="11" spans="1:13" x14ac:dyDescent="0.25">
      <c r="A11">
        <v>147</v>
      </c>
      <c r="B11">
        <v>33.299999999999997</v>
      </c>
      <c r="C11">
        <v>9</v>
      </c>
      <c r="D11">
        <v>166.87</v>
      </c>
      <c r="F11" t="b">
        <f t="shared" si="0"/>
        <v>1</v>
      </c>
      <c r="G11">
        <f t="shared" si="1"/>
        <v>175.38888888888891</v>
      </c>
      <c r="M11">
        <f t="shared" si="2"/>
        <v>2.6747935655837018</v>
      </c>
    </row>
    <row r="12" spans="1:13" x14ac:dyDescent="0.25">
      <c r="A12">
        <v>137.88999999999999</v>
      </c>
      <c r="B12">
        <v>1.98</v>
      </c>
      <c r="C12">
        <v>0</v>
      </c>
      <c r="D12">
        <v>0</v>
      </c>
      <c r="F12" t="b">
        <f t="shared" si="0"/>
        <v>0</v>
      </c>
      <c r="G12">
        <f t="shared" si="1"/>
        <v>0</v>
      </c>
      <c r="M12">
        <f t="shared" si="2"/>
        <v>0</v>
      </c>
    </row>
    <row r="13" spans="1:13" x14ac:dyDescent="0.25">
      <c r="A13">
        <v>143.63</v>
      </c>
      <c r="B13">
        <v>1.98</v>
      </c>
      <c r="C13">
        <v>0</v>
      </c>
      <c r="D13">
        <v>0</v>
      </c>
      <c r="F13" t="b">
        <f t="shared" si="0"/>
        <v>0</v>
      </c>
      <c r="G13">
        <f t="shared" si="1"/>
        <v>0</v>
      </c>
      <c r="M13">
        <f t="shared" si="2"/>
        <v>0</v>
      </c>
    </row>
    <row r="14" spans="1:13" x14ac:dyDescent="0.25">
      <c r="A14">
        <v>183.07</v>
      </c>
      <c r="B14">
        <v>9.34</v>
      </c>
      <c r="C14">
        <v>2</v>
      </c>
      <c r="D14">
        <v>47.66</v>
      </c>
      <c r="F14" t="b">
        <f t="shared" si="0"/>
        <v>0</v>
      </c>
      <c r="G14">
        <f t="shared" si="1"/>
        <v>47.66</v>
      </c>
      <c r="M14">
        <f t="shared" si="2"/>
        <v>0.72684570923121494</v>
      </c>
    </row>
    <row r="15" spans="1:13" x14ac:dyDescent="0.25">
      <c r="A15">
        <v>160.81</v>
      </c>
      <c r="B15">
        <v>34.020000000000003</v>
      </c>
      <c r="C15">
        <v>9</v>
      </c>
      <c r="D15">
        <v>166.87</v>
      </c>
      <c r="F15" t="b">
        <f t="shared" si="0"/>
        <v>1</v>
      </c>
      <c r="G15">
        <f t="shared" si="1"/>
        <v>171.67695473251027</v>
      </c>
      <c r="M15">
        <f t="shared" si="2"/>
        <v>2.6181841779523003</v>
      </c>
    </row>
    <row r="16" spans="1:13" x14ac:dyDescent="0.25">
      <c r="A16">
        <v>177.42</v>
      </c>
      <c r="B16">
        <v>1.88</v>
      </c>
      <c r="C16">
        <v>0</v>
      </c>
      <c r="D16">
        <v>0</v>
      </c>
      <c r="F16" t="b">
        <f t="shared" si="0"/>
        <v>0</v>
      </c>
      <c r="G16">
        <f t="shared" si="1"/>
        <v>0</v>
      </c>
      <c r="M16">
        <f t="shared" si="2"/>
        <v>0</v>
      </c>
    </row>
    <row r="17" spans="1:13" x14ac:dyDescent="0.25">
      <c r="A17">
        <v>108.33</v>
      </c>
      <c r="B17">
        <v>28.08</v>
      </c>
      <c r="C17">
        <v>5</v>
      </c>
      <c r="D17">
        <v>167.09</v>
      </c>
      <c r="F17" t="b">
        <f t="shared" si="0"/>
        <v>1</v>
      </c>
      <c r="G17">
        <f t="shared" si="1"/>
        <v>208.26745014245017</v>
      </c>
      <c r="M17">
        <f t="shared" si="2"/>
        <v>3.1762128096635736</v>
      </c>
    </row>
    <row r="18" spans="1:13" x14ac:dyDescent="0.25">
      <c r="A18">
        <v>185.88</v>
      </c>
      <c r="B18">
        <v>9.06</v>
      </c>
      <c r="C18">
        <v>2</v>
      </c>
      <c r="D18">
        <v>47.66</v>
      </c>
      <c r="F18" t="b">
        <f t="shared" si="0"/>
        <v>0</v>
      </c>
      <c r="G18">
        <f t="shared" si="1"/>
        <v>47.66</v>
      </c>
      <c r="M18">
        <f t="shared" si="2"/>
        <v>0.72684570923121494</v>
      </c>
    </row>
    <row r="19" spans="1:13" x14ac:dyDescent="0.25">
      <c r="A19">
        <v>156.22</v>
      </c>
      <c r="B19">
        <v>5.38</v>
      </c>
      <c r="C19">
        <v>1</v>
      </c>
      <c r="D19">
        <v>18.97</v>
      </c>
      <c r="F19" t="b">
        <f t="shared" si="0"/>
        <v>0</v>
      </c>
      <c r="G19">
        <f t="shared" si="1"/>
        <v>18.97</v>
      </c>
      <c r="M19">
        <f t="shared" si="2"/>
        <v>0.28930472312455202</v>
      </c>
    </row>
    <row r="20" spans="1:13" x14ac:dyDescent="0.25">
      <c r="A20">
        <v>145.55000000000001</v>
      </c>
      <c r="B20">
        <v>5.78</v>
      </c>
      <c r="C20">
        <v>1</v>
      </c>
      <c r="D20">
        <v>18.579999999999998</v>
      </c>
      <c r="F20" t="b">
        <f t="shared" si="0"/>
        <v>0</v>
      </c>
      <c r="G20">
        <f t="shared" si="1"/>
        <v>18.579999999999998</v>
      </c>
      <c r="M20">
        <f t="shared" si="2"/>
        <v>0.28335697183205988</v>
      </c>
    </row>
    <row r="21" spans="1:13" x14ac:dyDescent="0.25">
      <c r="A21">
        <v>101.17</v>
      </c>
      <c r="B21">
        <v>1.98</v>
      </c>
      <c r="C21">
        <v>0</v>
      </c>
      <c r="D21">
        <v>0</v>
      </c>
      <c r="F21" t="b">
        <f t="shared" si="0"/>
        <v>0</v>
      </c>
      <c r="G21">
        <f t="shared" si="1"/>
        <v>0</v>
      </c>
      <c r="M21">
        <f t="shared" si="2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395.33</v>
      </c>
      <c r="B2">
        <v>1.5</v>
      </c>
      <c r="C2">
        <v>0</v>
      </c>
      <c r="D2">
        <v>0</v>
      </c>
      <c r="F2" t="b">
        <f t="shared" ref="F2:F21" si="0">(D2&gt;165)</f>
        <v>0</v>
      </c>
      <c r="G2">
        <f t="shared" ref="G2:G21" si="1">IF(F2,D2+((D2/B2)*(35-B2)),D2)</f>
        <v>0</v>
      </c>
      <c r="M2">
        <f t="shared" ref="M2:M21" si="2">G2/65.571</f>
        <v>0</v>
      </c>
    </row>
    <row r="3" spans="1:13" x14ac:dyDescent="0.25">
      <c r="A3">
        <v>380.64</v>
      </c>
      <c r="B3">
        <v>9.9</v>
      </c>
      <c r="C3">
        <v>2</v>
      </c>
      <c r="D3">
        <v>47.55</v>
      </c>
      <c r="F3" t="b">
        <f t="shared" si="0"/>
        <v>0</v>
      </c>
      <c r="G3">
        <f t="shared" si="1"/>
        <v>47.55</v>
      </c>
      <c r="M3">
        <f t="shared" si="2"/>
        <v>0.72516813835384542</v>
      </c>
    </row>
    <row r="4" spans="1:13" x14ac:dyDescent="0.25">
      <c r="A4">
        <v>294.20999999999998</v>
      </c>
      <c r="B4">
        <v>5.78</v>
      </c>
      <c r="C4">
        <v>1</v>
      </c>
      <c r="D4">
        <v>18.760000000000002</v>
      </c>
      <c r="F4" t="b">
        <f t="shared" si="0"/>
        <v>0</v>
      </c>
      <c r="G4">
        <f t="shared" si="1"/>
        <v>18.760000000000002</v>
      </c>
      <c r="M4">
        <f t="shared" si="2"/>
        <v>0.28610208781321012</v>
      </c>
    </row>
    <row r="5" spans="1:13" x14ac:dyDescent="0.25">
      <c r="A5">
        <v>341.94</v>
      </c>
      <c r="B5">
        <v>7.34</v>
      </c>
      <c r="C5">
        <v>1</v>
      </c>
      <c r="D5">
        <v>48.53</v>
      </c>
      <c r="F5" t="b">
        <f t="shared" si="0"/>
        <v>0</v>
      </c>
      <c r="G5">
        <f t="shared" si="1"/>
        <v>48.53</v>
      </c>
      <c r="M5">
        <f t="shared" si="2"/>
        <v>0.74011376980677435</v>
      </c>
    </row>
    <row r="6" spans="1:13" x14ac:dyDescent="0.25">
      <c r="A6">
        <v>282.37</v>
      </c>
      <c r="B6">
        <v>2</v>
      </c>
      <c r="C6">
        <v>0</v>
      </c>
      <c r="D6">
        <v>0</v>
      </c>
      <c r="F6" t="b">
        <f t="shared" si="0"/>
        <v>0</v>
      </c>
      <c r="G6">
        <f t="shared" si="1"/>
        <v>0</v>
      </c>
      <c r="M6">
        <f t="shared" si="2"/>
        <v>0</v>
      </c>
    </row>
    <row r="7" spans="1:13" x14ac:dyDescent="0.25">
      <c r="A7">
        <v>300.18</v>
      </c>
      <c r="B7">
        <v>1.88</v>
      </c>
      <c r="C7">
        <v>0</v>
      </c>
      <c r="D7">
        <v>0</v>
      </c>
      <c r="F7" t="b">
        <f t="shared" si="0"/>
        <v>0</v>
      </c>
      <c r="G7">
        <f t="shared" si="1"/>
        <v>0</v>
      </c>
      <c r="M7">
        <f t="shared" si="2"/>
        <v>0</v>
      </c>
    </row>
    <row r="8" spans="1:13" x14ac:dyDescent="0.25">
      <c r="A8">
        <v>253.12</v>
      </c>
      <c r="B8">
        <v>31.3</v>
      </c>
      <c r="C8">
        <v>8</v>
      </c>
      <c r="D8">
        <v>166.88</v>
      </c>
      <c r="F8" t="b">
        <f t="shared" si="0"/>
        <v>1</v>
      </c>
      <c r="G8">
        <f t="shared" si="1"/>
        <v>186.6070287539936</v>
      </c>
      <c r="M8">
        <f t="shared" si="2"/>
        <v>2.8458774268196856</v>
      </c>
    </row>
    <row r="9" spans="1:13" x14ac:dyDescent="0.25">
      <c r="A9">
        <v>281.62</v>
      </c>
      <c r="B9">
        <v>1.4</v>
      </c>
      <c r="C9">
        <v>0</v>
      </c>
      <c r="D9">
        <v>0</v>
      </c>
      <c r="F9" t="b">
        <f t="shared" si="0"/>
        <v>0</v>
      </c>
      <c r="G9">
        <f t="shared" si="1"/>
        <v>0</v>
      </c>
      <c r="M9">
        <f t="shared" si="2"/>
        <v>0</v>
      </c>
    </row>
    <row r="10" spans="1:13" x14ac:dyDescent="0.25">
      <c r="A10">
        <v>324.81</v>
      </c>
      <c r="B10">
        <v>4.9000000000000004</v>
      </c>
      <c r="C10">
        <v>1</v>
      </c>
      <c r="D10">
        <v>18.600000000000001</v>
      </c>
      <c r="F10" t="b">
        <f t="shared" si="0"/>
        <v>0</v>
      </c>
      <c r="G10">
        <f t="shared" si="1"/>
        <v>18.600000000000001</v>
      </c>
      <c r="M10">
        <f t="shared" si="2"/>
        <v>0.2836619847188544</v>
      </c>
    </row>
    <row r="11" spans="1:13" x14ac:dyDescent="0.25">
      <c r="A11">
        <v>226.39</v>
      </c>
      <c r="B11">
        <v>33.56</v>
      </c>
      <c r="C11">
        <v>9</v>
      </c>
      <c r="D11">
        <v>166.87</v>
      </c>
      <c r="F11" t="b">
        <f t="shared" si="0"/>
        <v>1</v>
      </c>
      <c r="G11">
        <f t="shared" si="1"/>
        <v>174.03009535160905</v>
      </c>
      <c r="M11">
        <f t="shared" si="2"/>
        <v>2.6540710886155319</v>
      </c>
    </row>
    <row r="12" spans="1:13" x14ac:dyDescent="0.25">
      <c r="A12">
        <v>345.98</v>
      </c>
      <c r="B12">
        <v>1.34</v>
      </c>
      <c r="C12">
        <v>0</v>
      </c>
      <c r="D12">
        <v>0</v>
      </c>
      <c r="F12" t="b">
        <f t="shared" si="0"/>
        <v>0</v>
      </c>
      <c r="G12">
        <f t="shared" si="1"/>
        <v>0</v>
      </c>
      <c r="M12">
        <f t="shared" si="2"/>
        <v>0</v>
      </c>
    </row>
    <row r="13" spans="1:13" x14ac:dyDescent="0.25">
      <c r="A13">
        <v>369.65</v>
      </c>
      <c r="B13">
        <v>2.2400000000000002</v>
      </c>
      <c r="C13">
        <v>0</v>
      </c>
      <c r="D13">
        <v>0.63</v>
      </c>
      <c r="F13" t="b">
        <f t="shared" si="0"/>
        <v>0</v>
      </c>
      <c r="G13">
        <f t="shared" si="1"/>
        <v>0.63</v>
      </c>
      <c r="M13">
        <f t="shared" si="2"/>
        <v>9.6079059340257126E-3</v>
      </c>
    </row>
    <row r="14" spans="1:13" x14ac:dyDescent="0.25">
      <c r="A14">
        <v>295.73</v>
      </c>
      <c r="B14">
        <v>33.56</v>
      </c>
      <c r="C14">
        <v>9</v>
      </c>
      <c r="D14">
        <v>166.87</v>
      </c>
      <c r="F14" t="b">
        <f t="shared" si="0"/>
        <v>1</v>
      </c>
      <c r="G14">
        <f t="shared" si="1"/>
        <v>174.03009535160905</v>
      </c>
      <c r="M14">
        <f t="shared" si="2"/>
        <v>2.6540710886155319</v>
      </c>
    </row>
    <row r="15" spans="1:13" x14ac:dyDescent="0.25">
      <c r="A15">
        <v>317.07</v>
      </c>
      <c r="B15">
        <v>7.16</v>
      </c>
      <c r="C15">
        <v>1</v>
      </c>
      <c r="D15">
        <v>21.81</v>
      </c>
      <c r="F15" t="b">
        <f t="shared" si="0"/>
        <v>0</v>
      </c>
      <c r="G15">
        <f t="shared" si="1"/>
        <v>21.81</v>
      </c>
      <c r="M15">
        <f t="shared" si="2"/>
        <v>0.33261655304936633</v>
      </c>
    </row>
    <row r="16" spans="1:13" x14ac:dyDescent="0.25">
      <c r="A16">
        <v>301.12</v>
      </c>
      <c r="B16">
        <v>1.5</v>
      </c>
      <c r="C16">
        <v>0</v>
      </c>
      <c r="D16">
        <v>0</v>
      </c>
      <c r="F16" t="b">
        <f t="shared" si="0"/>
        <v>0</v>
      </c>
      <c r="G16">
        <f t="shared" si="1"/>
        <v>0</v>
      </c>
      <c r="M16">
        <f t="shared" si="2"/>
        <v>0</v>
      </c>
    </row>
    <row r="17" spans="1:13" x14ac:dyDescent="0.25">
      <c r="A17">
        <v>418.01</v>
      </c>
      <c r="B17">
        <v>5.76</v>
      </c>
      <c r="C17">
        <v>1</v>
      </c>
      <c r="D17">
        <v>18.579999999999998</v>
      </c>
      <c r="F17" t="b">
        <f t="shared" si="0"/>
        <v>0</v>
      </c>
      <c r="G17">
        <f t="shared" si="1"/>
        <v>18.579999999999998</v>
      </c>
      <c r="M17">
        <f t="shared" si="2"/>
        <v>0.28335697183205988</v>
      </c>
    </row>
    <row r="18" spans="1:13" x14ac:dyDescent="0.25">
      <c r="A18">
        <v>352.04</v>
      </c>
      <c r="B18">
        <v>32.159999999999997</v>
      </c>
      <c r="C18">
        <v>8</v>
      </c>
      <c r="D18">
        <v>167.02</v>
      </c>
      <c r="F18" t="b">
        <f t="shared" si="0"/>
        <v>1</v>
      </c>
      <c r="G18">
        <f t="shared" si="1"/>
        <v>181.7692786069652</v>
      </c>
      <c r="M18">
        <f t="shared" si="2"/>
        <v>2.772098619922911</v>
      </c>
    </row>
    <row r="19" spans="1:13" x14ac:dyDescent="0.25">
      <c r="A19">
        <v>409.05</v>
      </c>
      <c r="B19">
        <v>2</v>
      </c>
      <c r="C19">
        <v>0</v>
      </c>
      <c r="D19">
        <v>0</v>
      </c>
      <c r="F19" t="b">
        <f t="shared" si="0"/>
        <v>0</v>
      </c>
      <c r="G19">
        <f t="shared" si="1"/>
        <v>0</v>
      </c>
      <c r="M19">
        <f t="shared" si="2"/>
        <v>0</v>
      </c>
    </row>
    <row r="20" spans="1:13" x14ac:dyDescent="0.25">
      <c r="A20">
        <v>352.69</v>
      </c>
      <c r="B20">
        <v>5.24</v>
      </c>
      <c r="C20">
        <v>1</v>
      </c>
      <c r="D20">
        <v>19.11</v>
      </c>
      <c r="F20" t="b">
        <f t="shared" si="0"/>
        <v>0</v>
      </c>
      <c r="G20">
        <f t="shared" si="1"/>
        <v>19.11</v>
      </c>
      <c r="M20">
        <f t="shared" si="2"/>
        <v>0.29143981333211327</v>
      </c>
    </row>
    <row r="21" spans="1:13" x14ac:dyDescent="0.25">
      <c r="A21">
        <v>220.13</v>
      </c>
      <c r="B21">
        <v>1.34</v>
      </c>
      <c r="C21">
        <v>0</v>
      </c>
      <c r="D21">
        <v>0</v>
      </c>
      <c r="F21" t="b">
        <f t="shared" si="0"/>
        <v>0</v>
      </c>
      <c r="G21">
        <f t="shared" si="1"/>
        <v>0</v>
      </c>
      <c r="M21">
        <f t="shared" si="2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0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71.569999999999993</v>
      </c>
      <c r="B2">
        <v>28.24</v>
      </c>
      <c r="C2">
        <v>7</v>
      </c>
      <c r="D2">
        <v>167.08</v>
      </c>
      <c r="F2" t="b">
        <f t="shared" ref="F2:F21" si="0">(D2&gt;165)</f>
        <v>1</v>
      </c>
      <c r="G2">
        <f t="shared" ref="G2:G21" si="1">IF(F2,D2+((D2/B2)*(35-B2)),D2)</f>
        <v>207.07507082152978</v>
      </c>
      <c r="M2">
        <f t="shared" ref="M2:M21" si="2">G2/65.571</f>
        <v>3.1580282567221758</v>
      </c>
    </row>
    <row r="3" spans="1:13" x14ac:dyDescent="0.25">
      <c r="A3">
        <v>76.150000000000006</v>
      </c>
      <c r="B3">
        <v>25.94</v>
      </c>
      <c r="C3">
        <v>6</v>
      </c>
      <c r="D3">
        <v>166.87</v>
      </c>
      <c r="F3" t="b">
        <f t="shared" si="0"/>
        <v>1</v>
      </c>
      <c r="G3">
        <f t="shared" si="1"/>
        <v>225.15227447956823</v>
      </c>
      <c r="M3">
        <f t="shared" si="2"/>
        <v>3.4337172603676662</v>
      </c>
    </row>
    <row r="4" spans="1:13" x14ac:dyDescent="0.25">
      <c r="A4">
        <v>99.31</v>
      </c>
      <c r="B4">
        <v>26.46</v>
      </c>
      <c r="C4">
        <v>6</v>
      </c>
      <c r="D4">
        <v>167</v>
      </c>
      <c r="F4" t="b">
        <f t="shared" si="0"/>
        <v>1</v>
      </c>
      <c r="G4">
        <f t="shared" si="1"/>
        <v>220.89947089947088</v>
      </c>
      <c r="M4">
        <f t="shared" si="2"/>
        <v>3.3688592655208995</v>
      </c>
    </row>
    <row r="5" spans="1:13" x14ac:dyDescent="0.25">
      <c r="A5">
        <v>75.73</v>
      </c>
      <c r="B5">
        <v>33.340000000000003</v>
      </c>
      <c r="C5">
        <v>9</v>
      </c>
      <c r="D5">
        <v>166.87</v>
      </c>
      <c r="F5" t="b">
        <f t="shared" si="0"/>
        <v>1</v>
      </c>
      <c r="G5">
        <f t="shared" si="1"/>
        <v>175.17846430713857</v>
      </c>
      <c r="M5">
        <f t="shared" si="2"/>
        <v>2.6715844551270922</v>
      </c>
    </row>
    <row r="6" spans="1:13" x14ac:dyDescent="0.25">
      <c r="A6">
        <v>72.64</v>
      </c>
      <c r="B6">
        <v>28.94</v>
      </c>
      <c r="C6">
        <v>7</v>
      </c>
      <c r="D6">
        <v>166.9</v>
      </c>
      <c r="F6" t="b">
        <f t="shared" si="0"/>
        <v>1</v>
      </c>
      <c r="G6">
        <f t="shared" si="1"/>
        <v>201.84865238424325</v>
      </c>
      <c r="M6">
        <f t="shared" si="2"/>
        <v>3.0783220079645464</v>
      </c>
    </row>
    <row r="7" spans="1:13" x14ac:dyDescent="0.25">
      <c r="A7">
        <v>69.489999999999995</v>
      </c>
      <c r="B7">
        <v>33.96</v>
      </c>
      <c r="C7">
        <v>9</v>
      </c>
      <c r="D7">
        <v>167.17</v>
      </c>
      <c r="F7" t="b">
        <f t="shared" si="0"/>
        <v>1</v>
      </c>
      <c r="G7">
        <f t="shared" si="1"/>
        <v>172.28945818610129</v>
      </c>
      <c r="M7">
        <f t="shared" si="2"/>
        <v>2.6275252502798692</v>
      </c>
    </row>
    <row r="8" spans="1:13" x14ac:dyDescent="0.25">
      <c r="A8">
        <v>70.819999999999993</v>
      </c>
      <c r="B8">
        <v>33.28</v>
      </c>
      <c r="C8">
        <v>9</v>
      </c>
      <c r="D8">
        <v>166.87</v>
      </c>
      <c r="F8" t="b">
        <f t="shared" si="0"/>
        <v>1</v>
      </c>
      <c r="G8">
        <f t="shared" si="1"/>
        <v>175.49429086538461</v>
      </c>
      <c r="M8">
        <f t="shared" si="2"/>
        <v>2.6764010136399419</v>
      </c>
    </row>
    <row r="9" spans="1:13" x14ac:dyDescent="0.25">
      <c r="A9">
        <v>73.25</v>
      </c>
      <c r="B9">
        <v>33.58</v>
      </c>
      <c r="C9">
        <v>9</v>
      </c>
      <c r="D9">
        <v>166.87</v>
      </c>
      <c r="F9" t="b">
        <f t="shared" si="0"/>
        <v>1</v>
      </c>
      <c r="G9">
        <f t="shared" si="1"/>
        <v>173.92644431209055</v>
      </c>
      <c r="M9">
        <f t="shared" si="2"/>
        <v>2.6524903434763929</v>
      </c>
    </row>
    <row r="10" spans="1:13" x14ac:dyDescent="0.25">
      <c r="A10">
        <v>78.36</v>
      </c>
      <c r="B10">
        <v>33.86</v>
      </c>
      <c r="C10">
        <v>9</v>
      </c>
      <c r="D10">
        <v>166.87</v>
      </c>
      <c r="F10" t="b">
        <f t="shared" si="0"/>
        <v>1</v>
      </c>
      <c r="G10">
        <f t="shared" si="1"/>
        <v>172.48818665091554</v>
      </c>
      <c r="M10">
        <f t="shared" si="2"/>
        <v>2.6305559874169302</v>
      </c>
    </row>
    <row r="11" spans="1:13" x14ac:dyDescent="0.25">
      <c r="A11">
        <v>113.66</v>
      </c>
      <c r="B11">
        <v>30.5</v>
      </c>
      <c r="C11">
        <v>8</v>
      </c>
      <c r="D11">
        <v>166.89</v>
      </c>
      <c r="F11" t="b">
        <f t="shared" si="0"/>
        <v>1</v>
      </c>
      <c r="G11">
        <f t="shared" si="1"/>
        <v>191.51311475409835</v>
      </c>
      <c r="M11">
        <f t="shared" si="2"/>
        <v>2.920698399507379</v>
      </c>
    </row>
    <row r="12" spans="1:13" x14ac:dyDescent="0.25">
      <c r="A12">
        <v>92.23</v>
      </c>
      <c r="B12">
        <v>24.4</v>
      </c>
      <c r="C12">
        <v>5</v>
      </c>
      <c r="D12">
        <v>167.05</v>
      </c>
      <c r="F12" t="b">
        <f t="shared" si="0"/>
        <v>1</v>
      </c>
      <c r="G12">
        <f t="shared" si="1"/>
        <v>239.62090163934431</v>
      </c>
      <c r="M12">
        <f t="shared" si="2"/>
        <v>3.6543731472654728</v>
      </c>
    </row>
    <row r="13" spans="1:13" x14ac:dyDescent="0.25">
      <c r="A13">
        <v>71.63</v>
      </c>
      <c r="B13">
        <v>33.26</v>
      </c>
      <c r="C13">
        <v>9</v>
      </c>
      <c r="D13">
        <v>166.87</v>
      </c>
      <c r="F13" t="b">
        <f t="shared" si="0"/>
        <v>1</v>
      </c>
      <c r="G13">
        <f t="shared" si="1"/>
        <v>175.59981960312689</v>
      </c>
      <c r="M13">
        <f t="shared" si="2"/>
        <v>2.678010394886869</v>
      </c>
    </row>
    <row r="14" spans="1:13" x14ac:dyDescent="0.25">
      <c r="A14">
        <v>73.86</v>
      </c>
      <c r="B14">
        <v>33.799999999999997</v>
      </c>
      <c r="C14">
        <v>9</v>
      </c>
      <c r="D14">
        <v>166.87</v>
      </c>
      <c r="F14" t="b">
        <f t="shared" si="0"/>
        <v>1</v>
      </c>
      <c r="G14">
        <f t="shared" si="1"/>
        <v>172.79437869822488</v>
      </c>
      <c r="M14">
        <f t="shared" si="2"/>
        <v>2.6352256134300966</v>
      </c>
    </row>
    <row r="15" spans="1:13" x14ac:dyDescent="0.25">
      <c r="A15">
        <v>103.56</v>
      </c>
      <c r="B15">
        <v>1.98</v>
      </c>
      <c r="C15">
        <v>0</v>
      </c>
      <c r="D15">
        <v>0.28000000000000003</v>
      </c>
      <c r="F15" t="b">
        <f t="shared" si="0"/>
        <v>0</v>
      </c>
      <c r="G15">
        <f t="shared" si="1"/>
        <v>0.28000000000000003</v>
      </c>
      <c r="M15">
        <f t="shared" si="2"/>
        <v>4.2701804151225398E-3</v>
      </c>
    </row>
    <row r="16" spans="1:13" x14ac:dyDescent="0.25">
      <c r="A16">
        <v>94.42</v>
      </c>
      <c r="B16">
        <v>24.8</v>
      </c>
      <c r="C16">
        <v>5</v>
      </c>
      <c r="D16">
        <v>166.87</v>
      </c>
      <c r="F16" t="b">
        <f t="shared" si="0"/>
        <v>1</v>
      </c>
      <c r="G16">
        <f t="shared" si="1"/>
        <v>235.50201612903226</v>
      </c>
      <c r="M16">
        <f t="shared" si="2"/>
        <v>3.591557489271664</v>
      </c>
    </row>
    <row r="17" spans="1:13" x14ac:dyDescent="0.25">
      <c r="A17">
        <v>75.28</v>
      </c>
      <c r="B17">
        <v>34.64</v>
      </c>
      <c r="C17">
        <v>9</v>
      </c>
      <c r="D17">
        <v>166.87</v>
      </c>
      <c r="F17" t="b">
        <f t="shared" si="0"/>
        <v>1</v>
      </c>
      <c r="G17">
        <f t="shared" si="1"/>
        <v>168.60421478060047</v>
      </c>
      <c r="M17">
        <f t="shared" si="2"/>
        <v>2.5713229137972653</v>
      </c>
    </row>
    <row r="18" spans="1:13" x14ac:dyDescent="0.25">
      <c r="A18">
        <v>76.849999999999994</v>
      </c>
      <c r="B18">
        <v>24.6</v>
      </c>
      <c r="C18">
        <v>5</v>
      </c>
      <c r="D18">
        <v>166.86</v>
      </c>
      <c r="F18" t="b">
        <f t="shared" si="0"/>
        <v>1</v>
      </c>
      <c r="G18">
        <f t="shared" si="1"/>
        <v>237.40243902439025</v>
      </c>
      <c r="M18">
        <f t="shared" si="2"/>
        <v>3.6205401629438358</v>
      </c>
    </row>
    <row r="19" spans="1:13" x14ac:dyDescent="0.25">
      <c r="A19">
        <v>85.35</v>
      </c>
      <c r="B19">
        <v>26.88</v>
      </c>
      <c r="C19">
        <v>5</v>
      </c>
      <c r="D19">
        <v>167.02</v>
      </c>
      <c r="F19" t="b">
        <f t="shared" si="0"/>
        <v>1</v>
      </c>
      <c r="G19">
        <f t="shared" si="1"/>
        <v>217.47395833333334</v>
      </c>
      <c r="M19">
        <f t="shared" si="2"/>
        <v>3.3166179916934828</v>
      </c>
    </row>
    <row r="20" spans="1:13" x14ac:dyDescent="0.25">
      <c r="A20">
        <v>76.959999999999994</v>
      </c>
      <c r="B20">
        <v>24.82</v>
      </c>
      <c r="C20">
        <v>5</v>
      </c>
      <c r="D20">
        <v>166.93</v>
      </c>
      <c r="F20" t="b">
        <f t="shared" si="0"/>
        <v>1</v>
      </c>
      <c r="G20">
        <f t="shared" si="1"/>
        <v>235.39685737308622</v>
      </c>
      <c r="M20">
        <f t="shared" si="2"/>
        <v>3.589953750485523</v>
      </c>
    </row>
    <row r="21" spans="1:13" x14ac:dyDescent="0.25">
      <c r="A21">
        <v>69.87</v>
      </c>
      <c r="B21">
        <v>23.58</v>
      </c>
      <c r="C21">
        <v>5</v>
      </c>
      <c r="D21">
        <v>167.03</v>
      </c>
      <c r="F21" t="b">
        <f t="shared" si="0"/>
        <v>1</v>
      </c>
      <c r="G21">
        <f t="shared" si="1"/>
        <v>247.92408821034778</v>
      </c>
      <c r="M21">
        <f t="shared" si="2"/>
        <v>3.7810020925462138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9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113.8</v>
      </c>
      <c r="B2">
        <v>1.92</v>
      </c>
      <c r="C2">
        <v>0</v>
      </c>
      <c r="D2">
        <v>0</v>
      </c>
      <c r="F2" t="b">
        <f t="shared" ref="F2:F21" si="0">(D2&gt;165)</f>
        <v>0</v>
      </c>
      <c r="G2">
        <f t="shared" ref="G2:G21" si="1">IF(F2,D2+((D2/B2)*(35-B2)),D2)</f>
        <v>0</v>
      </c>
      <c r="M2">
        <f t="shared" ref="M2:M21" si="2">G2/65.571</f>
        <v>0</v>
      </c>
    </row>
    <row r="3" spans="1:13" x14ac:dyDescent="0.25">
      <c r="A3">
        <v>99.17</v>
      </c>
      <c r="B3">
        <v>26.08</v>
      </c>
      <c r="C3">
        <v>6</v>
      </c>
      <c r="D3">
        <v>167.08</v>
      </c>
      <c r="F3" t="b">
        <f t="shared" si="0"/>
        <v>1</v>
      </c>
      <c r="G3">
        <f t="shared" si="1"/>
        <v>224.22546012269942</v>
      </c>
      <c r="M3">
        <f t="shared" si="2"/>
        <v>3.4195827442421103</v>
      </c>
    </row>
    <row r="4" spans="1:13" x14ac:dyDescent="0.25">
      <c r="A4">
        <v>85.16</v>
      </c>
      <c r="B4">
        <v>30.2</v>
      </c>
      <c r="C4">
        <v>8</v>
      </c>
      <c r="D4">
        <v>166.87</v>
      </c>
      <c r="F4" t="b">
        <f t="shared" si="0"/>
        <v>1</v>
      </c>
      <c r="G4">
        <f t="shared" si="1"/>
        <v>193.39238410596028</v>
      </c>
      <c r="M4">
        <f t="shared" si="2"/>
        <v>2.9493584680111677</v>
      </c>
    </row>
    <row r="5" spans="1:13" x14ac:dyDescent="0.25">
      <c r="A5">
        <v>91.95</v>
      </c>
      <c r="B5">
        <v>25.96</v>
      </c>
      <c r="C5">
        <v>5</v>
      </c>
      <c r="D5">
        <v>166.99</v>
      </c>
      <c r="F5" t="b">
        <f t="shared" si="0"/>
        <v>1</v>
      </c>
      <c r="G5">
        <f t="shared" si="1"/>
        <v>225.14060092449924</v>
      </c>
      <c r="M5">
        <f t="shared" si="2"/>
        <v>3.4335392311311286</v>
      </c>
    </row>
    <row r="6" spans="1:13" x14ac:dyDescent="0.25">
      <c r="A6">
        <v>110.77</v>
      </c>
      <c r="B6">
        <v>23.56</v>
      </c>
      <c r="C6">
        <v>5</v>
      </c>
      <c r="D6">
        <v>167.17</v>
      </c>
      <c r="F6" t="b">
        <f t="shared" si="0"/>
        <v>1</v>
      </c>
      <c r="G6">
        <f t="shared" si="1"/>
        <v>248.34252971137522</v>
      </c>
      <c r="M6">
        <f t="shared" si="2"/>
        <v>3.7873835950553634</v>
      </c>
    </row>
    <row r="7" spans="1:13" x14ac:dyDescent="0.25">
      <c r="A7">
        <v>96.37</v>
      </c>
      <c r="B7">
        <v>24.94</v>
      </c>
      <c r="C7">
        <v>5</v>
      </c>
      <c r="D7">
        <v>167.08</v>
      </c>
      <c r="F7" t="b">
        <f t="shared" si="0"/>
        <v>1</v>
      </c>
      <c r="G7">
        <f t="shared" si="1"/>
        <v>234.47473937449882</v>
      </c>
      <c r="M7">
        <f t="shared" si="2"/>
        <v>3.5758908568498091</v>
      </c>
    </row>
    <row r="8" spans="1:13" x14ac:dyDescent="0.25">
      <c r="A8">
        <v>92.32</v>
      </c>
      <c r="B8">
        <v>25.6</v>
      </c>
      <c r="C8">
        <v>5</v>
      </c>
      <c r="D8">
        <v>167.09</v>
      </c>
      <c r="F8" t="b">
        <f t="shared" si="0"/>
        <v>1</v>
      </c>
      <c r="G8">
        <f t="shared" si="1"/>
        <v>228.443359375</v>
      </c>
      <c r="M8">
        <f t="shared" si="2"/>
        <v>3.4839084255997319</v>
      </c>
    </row>
    <row r="9" spans="1:13" x14ac:dyDescent="0.25">
      <c r="A9">
        <v>90.6</v>
      </c>
      <c r="B9">
        <v>26.02</v>
      </c>
      <c r="C9">
        <v>5</v>
      </c>
      <c r="D9">
        <v>167.09</v>
      </c>
      <c r="F9" t="b">
        <f t="shared" si="0"/>
        <v>1</v>
      </c>
      <c r="G9">
        <f t="shared" si="1"/>
        <v>224.75595695618756</v>
      </c>
      <c r="M9">
        <f t="shared" si="2"/>
        <v>3.4276731627729875</v>
      </c>
    </row>
    <row r="10" spans="1:13" x14ac:dyDescent="0.25">
      <c r="A10">
        <v>96.19</v>
      </c>
      <c r="B10">
        <v>31.62</v>
      </c>
      <c r="C10">
        <v>8</v>
      </c>
      <c r="D10">
        <v>166.98</v>
      </c>
      <c r="F10" t="b">
        <f t="shared" si="0"/>
        <v>1</v>
      </c>
      <c r="G10">
        <f t="shared" si="1"/>
        <v>184.82922201138518</v>
      </c>
      <c r="M10">
        <f t="shared" si="2"/>
        <v>2.8187647284834028</v>
      </c>
    </row>
    <row r="11" spans="1:13" x14ac:dyDescent="0.25">
      <c r="A11">
        <v>93.84</v>
      </c>
      <c r="B11">
        <v>33.78</v>
      </c>
      <c r="C11">
        <v>9</v>
      </c>
      <c r="D11">
        <v>166.87</v>
      </c>
      <c r="F11" t="b">
        <f t="shared" si="0"/>
        <v>1</v>
      </c>
      <c r="G11">
        <f t="shared" si="1"/>
        <v>172.89668442865602</v>
      </c>
      <c r="M11">
        <f t="shared" si="2"/>
        <v>2.6367858417388179</v>
      </c>
    </row>
    <row r="12" spans="1:13" x14ac:dyDescent="0.25">
      <c r="A12">
        <v>89.6</v>
      </c>
      <c r="B12">
        <v>25.32</v>
      </c>
      <c r="C12">
        <v>6</v>
      </c>
      <c r="D12">
        <v>167.03</v>
      </c>
      <c r="F12" t="b">
        <f t="shared" si="0"/>
        <v>1</v>
      </c>
      <c r="G12">
        <f t="shared" si="1"/>
        <v>230.88665086887835</v>
      </c>
      <c r="M12">
        <f t="shared" si="2"/>
        <v>3.5211701951911416</v>
      </c>
    </row>
    <row r="13" spans="1:13" x14ac:dyDescent="0.25">
      <c r="A13">
        <v>95.46</v>
      </c>
      <c r="B13">
        <v>24.58</v>
      </c>
      <c r="C13">
        <v>5</v>
      </c>
      <c r="D13">
        <v>166.96</v>
      </c>
      <c r="F13" t="b">
        <f t="shared" si="0"/>
        <v>1</v>
      </c>
      <c r="G13">
        <f t="shared" si="1"/>
        <v>237.73799837266074</v>
      </c>
      <c r="M13">
        <f t="shared" si="2"/>
        <v>3.6256576592191783</v>
      </c>
    </row>
    <row r="14" spans="1:13" x14ac:dyDescent="0.25">
      <c r="A14">
        <v>88.8</v>
      </c>
      <c r="B14">
        <v>33.200000000000003</v>
      </c>
      <c r="C14">
        <v>9</v>
      </c>
      <c r="D14">
        <v>166.87</v>
      </c>
      <c r="F14" t="b">
        <f t="shared" si="0"/>
        <v>1</v>
      </c>
      <c r="G14">
        <f t="shared" si="1"/>
        <v>175.91716867469879</v>
      </c>
      <c r="M14">
        <f t="shared" si="2"/>
        <v>2.6828501727089535</v>
      </c>
    </row>
    <row r="15" spans="1:13" x14ac:dyDescent="0.25">
      <c r="A15">
        <v>94.79</v>
      </c>
      <c r="B15">
        <v>1.46</v>
      </c>
      <c r="C15">
        <v>0</v>
      </c>
      <c r="D15">
        <v>0</v>
      </c>
      <c r="F15" t="b">
        <f t="shared" si="0"/>
        <v>0</v>
      </c>
      <c r="G15">
        <f t="shared" si="1"/>
        <v>0</v>
      </c>
      <c r="M15">
        <f t="shared" si="2"/>
        <v>0</v>
      </c>
    </row>
    <row r="16" spans="1:13" x14ac:dyDescent="0.25">
      <c r="A16">
        <v>88.08</v>
      </c>
      <c r="B16">
        <v>33.159999999999997</v>
      </c>
      <c r="C16">
        <v>9</v>
      </c>
      <c r="D16">
        <v>166.87</v>
      </c>
      <c r="F16" t="b">
        <f t="shared" si="0"/>
        <v>1</v>
      </c>
      <c r="G16">
        <f t="shared" si="1"/>
        <v>176.12937273823886</v>
      </c>
      <c r="M16">
        <f t="shared" si="2"/>
        <v>2.6860864214094473</v>
      </c>
    </row>
    <row r="17" spans="1:13" x14ac:dyDescent="0.25">
      <c r="A17">
        <v>96</v>
      </c>
      <c r="B17">
        <v>31.82</v>
      </c>
      <c r="C17">
        <v>8</v>
      </c>
      <c r="D17">
        <v>166.9</v>
      </c>
      <c r="F17" t="b">
        <f t="shared" si="0"/>
        <v>1</v>
      </c>
      <c r="G17">
        <f t="shared" si="1"/>
        <v>183.57950974230044</v>
      </c>
      <c r="M17">
        <f t="shared" si="2"/>
        <v>2.7997058111406026</v>
      </c>
    </row>
    <row r="18" spans="1:13" x14ac:dyDescent="0.25">
      <c r="A18">
        <v>107.13</v>
      </c>
      <c r="B18">
        <v>26.5</v>
      </c>
      <c r="C18">
        <v>6</v>
      </c>
      <c r="D18">
        <v>167.03</v>
      </c>
      <c r="F18" t="b">
        <f t="shared" si="0"/>
        <v>1</v>
      </c>
      <c r="G18">
        <f t="shared" si="1"/>
        <v>220.6056603773585</v>
      </c>
      <c r="M18">
        <f t="shared" si="2"/>
        <v>3.364378465744895</v>
      </c>
    </row>
    <row r="19" spans="1:13" x14ac:dyDescent="0.25">
      <c r="A19">
        <v>93.33</v>
      </c>
      <c r="B19">
        <v>23.42</v>
      </c>
      <c r="C19">
        <v>5</v>
      </c>
      <c r="D19">
        <v>167.19</v>
      </c>
      <c r="F19" t="b">
        <f t="shared" si="0"/>
        <v>1</v>
      </c>
      <c r="G19">
        <f t="shared" si="1"/>
        <v>249.85695986336464</v>
      </c>
      <c r="M19">
        <f t="shared" si="2"/>
        <v>3.8104796306807072</v>
      </c>
    </row>
    <row r="20" spans="1:13" x14ac:dyDescent="0.25">
      <c r="A20">
        <v>109.29</v>
      </c>
      <c r="B20">
        <v>31.34</v>
      </c>
      <c r="C20">
        <v>8</v>
      </c>
      <c r="D20">
        <v>166.94</v>
      </c>
      <c r="F20" t="b">
        <f t="shared" si="0"/>
        <v>1</v>
      </c>
      <c r="G20">
        <f t="shared" si="1"/>
        <v>186.43586470963623</v>
      </c>
      <c r="M20">
        <f t="shared" si="2"/>
        <v>2.8432670648554428</v>
      </c>
    </row>
    <row r="21" spans="1:13" x14ac:dyDescent="0.25">
      <c r="A21">
        <v>87.81</v>
      </c>
      <c r="B21">
        <v>34.020000000000003</v>
      </c>
      <c r="C21">
        <v>9</v>
      </c>
      <c r="D21">
        <v>166.87</v>
      </c>
      <c r="F21" t="b">
        <f t="shared" si="0"/>
        <v>1</v>
      </c>
      <c r="G21">
        <f t="shared" si="1"/>
        <v>171.67695473251027</v>
      </c>
      <c r="M21">
        <f t="shared" si="2"/>
        <v>2.6181841779523003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7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I1" t="s">
        <v>22</v>
      </c>
      <c r="J1" t="s">
        <v>23</v>
      </c>
    </row>
    <row r="2" spans="1:13" x14ac:dyDescent="0.25">
      <c r="A2">
        <v>880.9</v>
      </c>
      <c r="B2">
        <v>1.5</v>
      </c>
      <c r="C2">
        <v>0</v>
      </c>
      <c r="D2">
        <v>0</v>
      </c>
      <c r="F2" t="b">
        <f t="shared" ref="F2:F21" si="0">(D2&gt;165)</f>
        <v>0</v>
      </c>
      <c r="G2">
        <f t="shared" ref="G2:G21" si="1">IF(F2,D2+((D2/B2)*(35-B2)),D2)</f>
        <v>0</v>
      </c>
      <c r="I2">
        <f>_xlfn.T.TEST(G2:G21,'small-batchsize'!G2:G21,1,3)</f>
        <v>0.13656375137478924</v>
      </c>
      <c r="J2">
        <f>_xlfn.T.TEST(G2:G21,control!G2:G21,1,3)</f>
        <v>0.11720502141396213</v>
      </c>
      <c r="M2">
        <f t="shared" ref="M2:M21" si="2">G2/65.571</f>
        <v>0</v>
      </c>
    </row>
    <row r="3" spans="1:13" x14ac:dyDescent="0.25">
      <c r="A3">
        <v>903.65</v>
      </c>
      <c r="B3">
        <v>1.56</v>
      </c>
      <c r="C3">
        <v>0</v>
      </c>
      <c r="D3">
        <v>0</v>
      </c>
      <c r="F3" t="b">
        <f t="shared" si="0"/>
        <v>0</v>
      </c>
      <c r="G3">
        <f t="shared" si="1"/>
        <v>0</v>
      </c>
      <c r="M3">
        <f t="shared" si="2"/>
        <v>0</v>
      </c>
    </row>
    <row r="4" spans="1:13" x14ac:dyDescent="0.25">
      <c r="A4">
        <v>914.28</v>
      </c>
      <c r="B4">
        <v>23.64</v>
      </c>
      <c r="C4">
        <v>5</v>
      </c>
      <c r="D4">
        <v>166.94</v>
      </c>
      <c r="F4" t="b">
        <f t="shared" si="0"/>
        <v>1</v>
      </c>
      <c r="G4">
        <f t="shared" si="1"/>
        <v>247.16159052453469</v>
      </c>
      <c r="M4">
        <f t="shared" si="2"/>
        <v>3.7693735115300164</v>
      </c>
    </row>
    <row r="5" spans="1:13" x14ac:dyDescent="0.25">
      <c r="A5">
        <v>946.76</v>
      </c>
      <c r="B5">
        <v>20.34</v>
      </c>
      <c r="C5">
        <v>4</v>
      </c>
      <c r="D5">
        <v>134.75</v>
      </c>
      <c r="F5" t="b">
        <f t="shared" si="0"/>
        <v>0</v>
      </c>
      <c r="G5">
        <f t="shared" si="1"/>
        <v>134.75</v>
      </c>
      <c r="M5">
        <f t="shared" si="2"/>
        <v>2.055024324777722</v>
      </c>
    </row>
    <row r="6" spans="1:13" x14ac:dyDescent="0.25">
      <c r="A6">
        <v>890.01</v>
      </c>
      <c r="B6">
        <v>9.98</v>
      </c>
      <c r="C6">
        <v>2</v>
      </c>
      <c r="D6">
        <v>47.57</v>
      </c>
      <c r="F6" t="b">
        <f t="shared" si="0"/>
        <v>0</v>
      </c>
      <c r="G6">
        <f t="shared" si="1"/>
        <v>47.57</v>
      </c>
      <c r="M6">
        <f t="shared" si="2"/>
        <v>0.72547315124063994</v>
      </c>
    </row>
    <row r="7" spans="1:13" x14ac:dyDescent="0.25">
      <c r="A7">
        <v>801.83</v>
      </c>
      <c r="B7">
        <v>22.68</v>
      </c>
      <c r="C7">
        <v>5</v>
      </c>
      <c r="D7">
        <v>130.82</v>
      </c>
      <c r="F7" t="b">
        <f t="shared" si="0"/>
        <v>0</v>
      </c>
      <c r="G7">
        <f t="shared" si="1"/>
        <v>130.82</v>
      </c>
      <c r="M7">
        <f t="shared" si="2"/>
        <v>1.9950892925226091</v>
      </c>
    </row>
    <row r="8" spans="1:13" x14ac:dyDescent="0.25">
      <c r="A8">
        <v>885</v>
      </c>
      <c r="B8">
        <v>10.46</v>
      </c>
      <c r="C8">
        <v>2</v>
      </c>
      <c r="D8">
        <v>47.51</v>
      </c>
      <c r="F8" t="b">
        <f t="shared" si="0"/>
        <v>0</v>
      </c>
      <c r="G8">
        <f t="shared" si="1"/>
        <v>47.51</v>
      </c>
      <c r="M8">
        <f t="shared" si="2"/>
        <v>0.72455811258025649</v>
      </c>
    </row>
    <row r="9" spans="1:13" x14ac:dyDescent="0.25">
      <c r="A9">
        <v>777.35</v>
      </c>
      <c r="B9">
        <v>28.76</v>
      </c>
      <c r="C9">
        <v>7</v>
      </c>
      <c r="D9">
        <v>167.01</v>
      </c>
      <c r="F9" t="b">
        <f t="shared" si="0"/>
        <v>1</v>
      </c>
      <c r="G9">
        <f t="shared" si="1"/>
        <v>203.24582753824754</v>
      </c>
      <c r="M9">
        <f t="shared" si="2"/>
        <v>3.0996298293185638</v>
      </c>
    </row>
    <row r="10" spans="1:13" x14ac:dyDescent="0.25">
      <c r="A10">
        <v>934.65</v>
      </c>
      <c r="B10">
        <v>9.94</v>
      </c>
      <c r="C10">
        <v>2</v>
      </c>
      <c r="D10">
        <v>47.51</v>
      </c>
      <c r="F10" t="b">
        <f t="shared" si="0"/>
        <v>0</v>
      </c>
      <c r="G10">
        <f t="shared" si="1"/>
        <v>47.51</v>
      </c>
      <c r="M10">
        <f t="shared" si="2"/>
        <v>0.72455811258025649</v>
      </c>
    </row>
    <row r="11" spans="1:13" x14ac:dyDescent="0.25">
      <c r="A11">
        <v>850.06</v>
      </c>
      <c r="B11">
        <v>10.24</v>
      </c>
      <c r="C11">
        <v>2</v>
      </c>
      <c r="D11">
        <v>47.72</v>
      </c>
      <c r="F11" t="b">
        <f t="shared" si="0"/>
        <v>0</v>
      </c>
      <c r="G11">
        <f t="shared" si="1"/>
        <v>47.72</v>
      </c>
      <c r="M11">
        <f t="shared" si="2"/>
        <v>0.72776074789159839</v>
      </c>
    </row>
    <row r="12" spans="1:13" x14ac:dyDescent="0.25">
      <c r="A12">
        <v>885.57</v>
      </c>
      <c r="B12">
        <v>1.34</v>
      </c>
      <c r="C12">
        <v>0</v>
      </c>
      <c r="D12">
        <v>0</v>
      </c>
      <c r="F12" t="b">
        <f t="shared" si="0"/>
        <v>0</v>
      </c>
      <c r="G12">
        <f t="shared" si="1"/>
        <v>0</v>
      </c>
      <c r="M12">
        <f t="shared" si="2"/>
        <v>0</v>
      </c>
    </row>
    <row r="13" spans="1:13" x14ac:dyDescent="0.25">
      <c r="A13">
        <v>895.65</v>
      </c>
      <c r="B13">
        <v>24.92</v>
      </c>
      <c r="C13">
        <v>5</v>
      </c>
      <c r="D13">
        <v>167.15</v>
      </c>
      <c r="F13" t="b">
        <f t="shared" si="0"/>
        <v>1</v>
      </c>
      <c r="G13">
        <f t="shared" si="1"/>
        <v>234.76123595505618</v>
      </c>
      <c r="M13">
        <f t="shared" si="2"/>
        <v>3.5802601143044361</v>
      </c>
    </row>
    <row r="14" spans="1:13" x14ac:dyDescent="0.25">
      <c r="A14">
        <v>866.36</v>
      </c>
      <c r="B14">
        <v>1.84</v>
      </c>
      <c r="C14">
        <v>0</v>
      </c>
      <c r="D14">
        <v>0</v>
      </c>
      <c r="F14" t="b">
        <f t="shared" si="0"/>
        <v>0</v>
      </c>
      <c r="G14">
        <f t="shared" si="1"/>
        <v>0</v>
      </c>
      <c r="M14">
        <f t="shared" si="2"/>
        <v>0</v>
      </c>
    </row>
    <row r="15" spans="1:13" x14ac:dyDescent="0.25">
      <c r="A15">
        <v>918.25</v>
      </c>
      <c r="B15">
        <v>4.96</v>
      </c>
      <c r="C15">
        <v>1</v>
      </c>
      <c r="D15">
        <v>18.59</v>
      </c>
      <c r="F15" t="b">
        <f t="shared" si="0"/>
        <v>0</v>
      </c>
      <c r="G15">
        <f t="shared" si="1"/>
        <v>18.59</v>
      </c>
      <c r="M15">
        <f t="shared" si="2"/>
        <v>0.28350947827545714</v>
      </c>
    </row>
    <row r="16" spans="1:13" x14ac:dyDescent="0.25">
      <c r="A16">
        <v>922.42</v>
      </c>
      <c r="B16">
        <v>19.14</v>
      </c>
      <c r="C16">
        <v>4</v>
      </c>
      <c r="D16">
        <v>130.88</v>
      </c>
      <c r="F16" t="b">
        <f t="shared" si="0"/>
        <v>0</v>
      </c>
      <c r="G16">
        <f t="shared" si="1"/>
        <v>130.88</v>
      </c>
      <c r="M16">
        <f t="shared" si="2"/>
        <v>1.9960043311829925</v>
      </c>
    </row>
    <row r="17" spans="1:13" x14ac:dyDescent="0.25">
      <c r="A17">
        <v>808.22</v>
      </c>
      <c r="B17">
        <v>24.94</v>
      </c>
      <c r="C17">
        <v>5</v>
      </c>
      <c r="D17">
        <v>166.89</v>
      </c>
      <c r="F17" t="b">
        <f t="shared" si="0"/>
        <v>1</v>
      </c>
      <c r="G17">
        <f t="shared" si="1"/>
        <v>234.20809943865274</v>
      </c>
      <c r="M17">
        <f t="shared" si="2"/>
        <v>3.5718244260214536</v>
      </c>
    </row>
    <row r="18" spans="1:13" x14ac:dyDescent="0.25">
      <c r="A18">
        <v>888.66</v>
      </c>
      <c r="B18">
        <v>9.56</v>
      </c>
      <c r="C18">
        <v>2</v>
      </c>
      <c r="D18">
        <v>47.63</v>
      </c>
      <c r="F18" t="b">
        <f t="shared" si="0"/>
        <v>0</v>
      </c>
      <c r="G18">
        <f t="shared" si="1"/>
        <v>47.63</v>
      </c>
      <c r="M18">
        <f t="shared" si="2"/>
        <v>0.72638818990102338</v>
      </c>
    </row>
    <row r="19" spans="1:13" x14ac:dyDescent="0.25">
      <c r="A19">
        <v>917.14</v>
      </c>
      <c r="B19">
        <v>30.72</v>
      </c>
      <c r="C19">
        <v>8</v>
      </c>
      <c r="D19">
        <v>166.96</v>
      </c>
      <c r="F19" t="b">
        <f t="shared" si="0"/>
        <v>1</v>
      </c>
      <c r="G19">
        <f t="shared" si="1"/>
        <v>190.22135416666669</v>
      </c>
      <c r="M19">
        <f t="shared" si="2"/>
        <v>2.9009982182163867</v>
      </c>
    </row>
    <row r="20" spans="1:13" x14ac:dyDescent="0.25">
      <c r="A20">
        <v>789.74</v>
      </c>
      <c r="B20">
        <v>34.119999999999997</v>
      </c>
      <c r="C20">
        <v>9</v>
      </c>
      <c r="D20">
        <v>166.87</v>
      </c>
      <c r="F20" t="b">
        <f t="shared" si="0"/>
        <v>1</v>
      </c>
      <c r="G20">
        <f t="shared" si="1"/>
        <v>171.1737983587339</v>
      </c>
      <c r="M20">
        <f t="shared" si="2"/>
        <v>2.6105107190485719</v>
      </c>
    </row>
    <row r="21" spans="1:13" x14ac:dyDescent="0.25">
      <c r="A21">
        <v>839.59</v>
      </c>
      <c r="B21">
        <v>5.46</v>
      </c>
      <c r="C21">
        <v>1</v>
      </c>
      <c r="D21">
        <v>18.87</v>
      </c>
      <c r="F21" t="b">
        <f t="shared" si="0"/>
        <v>0</v>
      </c>
      <c r="G21">
        <f t="shared" si="1"/>
        <v>18.87</v>
      </c>
      <c r="M21">
        <f t="shared" si="2"/>
        <v>0.2877796586905797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7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1720.42</v>
      </c>
      <c r="B2">
        <v>1.9</v>
      </c>
      <c r="C2">
        <v>0</v>
      </c>
      <c r="D2">
        <v>0</v>
      </c>
      <c r="F2" t="b">
        <f t="shared" ref="F2:F21" si="0">(D2&gt;165)</f>
        <v>0</v>
      </c>
      <c r="G2">
        <f t="shared" ref="G2:G21" si="1">IF(F2,D2+((D2/B2)*(35-B2)),D2)</f>
        <v>0</v>
      </c>
      <c r="M2">
        <f t="shared" ref="M2:M21" si="2">G2/65.571</f>
        <v>0</v>
      </c>
    </row>
    <row r="3" spans="1:13" x14ac:dyDescent="0.25">
      <c r="A3">
        <v>1661.92</v>
      </c>
      <c r="B3">
        <v>5.54</v>
      </c>
      <c r="C3">
        <v>1</v>
      </c>
      <c r="D3">
        <v>18.600000000000001</v>
      </c>
      <c r="F3" t="b">
        <f t="shared" si="0"/>
        <v>0</v>
      </c>
      <c r="G3">
        <f t="shared" si="1"/>
        <v>18.600000000000001</v>
      </c>
      <c r="M3">
        <f t="shared" si="2"/>
        <v>0.2836619847188544</v>
      </c>
    </row>
    <row r="4" spans="1:13" x14ac:dyDescent="0.25">
      <c r="A4">
        <v>1766.11</v>
      </c>
      <c r="B4">
        <v>5.4</v>
      </c>
      <c r="C4">
        <v>1</v>
      </c>
      <c r="D4">
        <v>18.600000000000001</v>
      </c>
      <c r="F4" t="b">
        <f t="shared" si="0"/>
        <v>0</v>
      </c>
      <c r="G4">
        <f t="shared" si="1"/>
        <v>18.600000000000001</v>
      </c>
      <c r="M4">
        <f t="shared" si="2"/>
        <v>0.2836619847188544</v>
      </c>
    </row>
    <row r="5" spans="1:13" x14ac:dyDescent="0.25">
      <c r="A5">
        <v>1646.32</v>
      </c>
      <c r="B5">
        <v>9.5</v>
      </c>
      <c r="C5">
        <v>2</v>
      </c>
      <c r="D5">
        <v>47.57</v>
      </c>
      <c r="F5" t="b">
        <f t="shared" si="0"/>
        <v>0</v>
      </c>
      <c r="G5">
        <f t="shared" si="1"/>
        <v>47.57</v>
      </c>
      <c r="M5">
        <f t="shared" si="2"/>
        <v>0.72547315124063994</v>
      </c>
    </row>
    <row r="6" spans="1:13" x14ac:dyDescent="0.25">
      <c r="A6">
        <v>1720.4</v>
      </c>
      <c r="B6">
        <v>9.68</v>
      </c>
      <c r="C6">
        <v>2</v>
      </c>
      <c r="D6">
        <v>47.45</v>
      </c>
      <c r="F6" t="b">
        <f t="shared" si="0"/>
        <v>0</v>
      </c>
      <c r="G6">
        <f t="shared" si="1"/>
        <v>47.45</v>
      </c>
      <c r="M6">
        <f t="shared" si="2"/>
        <v>0.72364307391987315</v>
      </c>
    </row>
    <row r="7" spans="1:13" x14ac:dyDescent="0.25">
      <c r="A7">
        <v>1597.71</v>
      </c>
      <c r="B7">
        <v>9.6999999999999993</v>
      </c>
      <c r="C7">
        <v>2</v>
      </c>
      <c r="D7">
        <v>47.38</v>
      </c>
      <c r="F7" t="b">
        <f t="shared" si="0"/>
        <v>0</v>
      </c>
      <c r="G7">
        <f t="shared" si="1"/>
        <v>47.38</v>
      </c>
      <c r="M7">
        <f t="shared" si="2"/>
        <v>0.72257552881609255</v>
      </c>
    </row>
    <row r="8" spans="1:13" x14ac:dyDescent="0.25">
      <c r="A8">
        <v>1648.94</v>
      </c>
      <c r="B8">
        <v>9.5399999999999991</v>
      </c>
      <c r="C8">
        <v>2</v>
      </c>
      <c r="D8">
        <v>47.46</v>
      </c>
      <c r="F8" t="b">
        <f t="shared" si="0"/>
        <v>0</v>
      </c>
      <c r="G8">
        <f t="shared" si="1"/>
        <v>47.46</v>
      </c>
      <c r="M8">
        <f t="shared" si="2"/>
        <v>0.72379558036327041</v>
      </c>
    </row>
    <row r="9" spans="1:13" x14ac:dyDescent="0.25">
      <c r="A9">
        <v>1675.03</v>
      </c>
      <c r="B9">
        <v>9.44</v>
      </c>
      <c r="C9">
        <v>2</v>
      </c>
      <c r="D9">
        <v>47.65</v>
      </c>
      <c r="F9" t="b">
        <f t="shared" si="0"/>
        <v>0</v>
      </c>
      <c r="G9">
        <f t="shared" si="1"/>
        <v>47.65</v>
      </c>
      <c r="M9">
        <f t="shared" si="2"/>
        <v>0.72669320278781779</v>
      </c>
    </row>
    <row r="10" spans="1:13" x14ac:dyDescent="0.25">
      <c r="A10">
        <v>1762.68</v>
      </c>
      <c r="B10">
        <v>9.5</v>
      </c>
      <c r="C10">
        <v>2</v>
      </c>
      <c r="D10">
        <v>47.65</v>
      </c>
      <c r="F10" t="b">
        <f t="shared" si="0"/>
        <v>0</v>
      </c>
      <c r="G10">
        <f t="shared" si="1"/>
        <v>47.65</v>
      </c>
      <c r="M10">
        <f t="shared" si="2"/>
        <v>0.72669320278781779</v>
      </c>
    </row>
    <row r="11" spans="1:13" x14ac:dyDescent="0.25">
      <c r="A11">
        <v>1665.34</v>
      </c>
      <c r="B11">
        <v>9.68</v>
      </c>
      <c r="C11">
        <v>2</v>
      </c>
      <c r="D11">
        <v>47.71</v>
      </c>
      <c r="F11" t="b">
        <f t="shared" si="0"/>
        <v>0</v>
      </c>
      <c r="G11">
        <f t="shared" si="1"/>
        <v>47.71</v>
      </c>
      <c r="M11">
        <f t="shared" si="2"/>
        <v>0.72760824144820124</v>
      </c>
    </row>
    <row r="12" spans="1:13" x14ac:dyDescent="0.25">
      <c r="A12">
        <v>1707.97</v>
      </c>
      <c r="B12">
        <v>24.84</v>
      </c>
      <c r="C12">
        <v>6</v>
      </c>
      <c r="D12">
        <v>166.77</v>
      </c>
      <c r="F12" t="b">
        <f t="shared" si="0"/>
        <v>1</v>
      </c>
      <c r="G12">
        <f t="shared" si="1"/>
        <v>234.98188405797103</v>
      </c>
      <c r="M12">
        <f t="shared" si="2"/>
        <v>3.5836251400462253</v>
      </c>
    </row>
    <row r="13" spans="1:13" x14ac:dyDescent="0.25">
      <c r="A13">
        <v>1647.99</v>
      </c>
      <c r="B13">
        <v>5.48</v>
      </c>
      <c r="C13">
        <v>1</v>
      </c>
      <c r="D13">
        <v>18.71</v>
      </c>
      <c r="F13" t="b">
        <f t="shared" si="0"/>
        <v>0</v>
      </c>
      <c r="G13">
        <f t="shared" si="1"/>
        <v>18.71</v>
      </c>
      <c r="M13">
        <f t="shared" si="2"/>
        <v>0.28533955559622398</v>
      </c>
    </row>
    <row r="14" spans="1:13" x14ac:dyDescent="0.25">
      <c r="A14">
        <v>1651.97</v>
      </c>
      <c r="B14">
        <v>5.48</v>
      </c>
      <c r="C14">
        <v>1</v>
      </c>
      <c r="D14">
        <v>18.77</v>
      </c>
      <c r="F14" t="b">
        <f t="shared" si="0"/>
        <v>0</v>
      </c>
      <c r="G14">
        <f t="shared" si="1"/>
        <v>18.77</v>
      </c>
      <c r="M14">
        <f t="shared" si="2"/>
        <v>0.28625459425660732</v>
      </c>
    </row>
    <row r="15" spans="1:13" x14ac:dyDescent="0.25">
      <c r="A15">
        <v>1784.9</v>
      </c>
      <c r="B15">
        <v>7.7</v>
      </c>
      <c r="C15">
        <v>1</v>
      </c>
      <c r="D15">
        <v>48.48</v>
      </c>
      <c r="F15" t="b">
        <f t="shared" si="0"/>
        <v>0</v>
      </c>
      <c r="G15">
        <f t="shared" si="1"/>
        <v>48.48</v>
      </c>
      <c r="M15">
        <f t="shared" si="2"/>
        <v>0.73935123758978816</v>
      </c>
    </row>
    <row r="16" spans="1:13" x14ac:dyDescent="0.25">
      <c r="A16">
        <v>1802.94</v>
      </c>
      <c r="B16">
        <v>19.48</v>
      </c>
      <c r="C16">
        <v>4</v>
      </c>
      <c r="D16">
        <v>130.69</v>
      </c>
      <c r="F16" t="b">
        <f t="shared" si="0"/>
        <v>0</v>
      </c>
      <c r="G16">
        <f t="shared" si="1"/>
        <v>130.69</v>
      </c>
      <c r="M16">
        <f t="shared" si="2"/>
        <v>1.9931067087584451</v>
      </c>
    </row>
    <row r="17" spans="1:13" x14ac:dyDescent="0.25">
      <c r="A17">
        <v>1748.65</v>
      </c>
      <c r="B17">
        <v>19.36</v>
      </c>
      <c r="C17">
        <v>4</v>
      </c>
      <c r="D17">
        <v>130.68</v>
      </c>
      <c r="F17" t="b">
        <f t="shared" si="0"/>
        <v>0</v>
      </c>
      <c r="G17">
        <f t="shared" si="1"/>
        <v>130.68</v>
      </c>
      <c r="M17">
        <f t="shared" si="2"/>
        <v>1.9929542023150479</v>
      </c>
    </row>
    <row r="18" spans="1:13" x14ac:dyDescent="0.25">
      <c r="A18">
        <v>1633.57</v>
      </c>
      <c r="B18">
        <v>19.36</v>
      </c>
      <c r="C18">
        <v>4</v>
      </c>
      <c r="D18">
        <v>130.69</v>
      </c>
      <c r="F18" t="b">
        <f t="shared" si="0"/>
        <v>0</v>
      </c>
      <c r="G18">
        <f t="shared" si="1"/>
        <v>130.69</v>
      </c>
      <c r="M18">
        <f t="shared" si="2"/>
        <v>1.9931067087584451</v>
      </c>
    </row>
    <row r="19" spans="1:13" x14ac:dyDescent="0.25">
      <c r="A19">
        <v>1787.87</v>
      </c>
      <c r="B19">
        <v>9.44</v>
      </c>
      <c r="C19">
        <v>2</v>
      </c>
      <c r="D19">
        <v>47.59</v>
      </c>
      <c r="F19" t="b">
        <f t="shared" si="0"/>
        <v>0</v>
      </c>
      <c r="G19">
        <f t="shared" si="1"/>
        <v>47.59</v>
      </c>
      <c r="M19">
        <f t="shared" si="2"/>
        <v>0.72577816412743446</v>
      </c>
    </row>
    <row r="20" spans="1:13" x14ac:dyDescent="0.25">
      <c r="A20">
        <v>1557.61</v>
      </c>
      <c r="B20">
        <v>19.02</v>
      </c>
      <c r="C20">
        <v>4</v>
      </c>
      <c r="D20">
        <v>130.78</v>
      </c>
      <c r="F20" t="b">
        <f t="shared" si="0"/>
        <v>0</v>
      </c>
      <c r="G20">
        <f t="shared" si="1"/>
        <v>130.78</v>
      </c>
      <c r="M20">
        <f t="shared" si="2"/>
        <v>1.9944792667490203</v>
      </c>
    </row>
    <row r="21" spans="1:13" x14ac:dyDescent="0.25">
      <c r="A21">
        <v>1690.01</v>
      </c>
      <c r="B21">
        <v>5.4</v>
      </c>
      <c r="C21">
        <v>1</v>
      </c>
      <c r="D21">
        <v>18.600000000000001</v>
      </c>
      <c r="F21" t="b">
        <f t="shared" si="0"/>
        <v>0</v>
      </c>
      <c r="G21">
        <f t="shared" si="1"/>
        <v>18.600000000000001</v>
      </c>
      <c r="M21">
        <f t="shared" si="2"/>
        <v>0.2836619847188544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I1" t="s">
        <v>24</v>
      </c>
    </row>
    <row r="2" spans="1:13" x14ac:dyDescent="0.25">
      <c r="A2">
        <v>892.99</v>
      </c>
      <c r="B2">
        <v>5.22</v>
      </c>
      <c r="C2">
        <v>1</v>
      </c>
      <c r="D2">
        <v>18.95</v>
      </c>
      <c r="F2" t="b">
        <f t="shared" ref="F2:F21" si="0">(D2&gt;165)</f>
        <v>0</v>
      </c>
      <c r="G2">
        <f t="shared" ref="G2:G21" si="1">IF(F2,D2+((D2/B2)*(35-B2)),D2)</f>
        <v>18.95</v>
      </c>
      <c r="I2">
        <f>_xlfn.T.TEST(G2:G21,control!G2:G21,1,3)</f>
        <v>0.4664702006021898</v>
      </c>
      <c r="M2">
        <f t="shared" ref="M2:M21" si="2">G2/65.571</f>
        <v>0.28899971023775756</v>
      </c>
    </row>
    <row r="3" spans="1:13" x14ac:dyDescent="0.25">
      <c r="A3">
        <v>903.16</v>
      </c>
      <c r="B3">
        <v>1.38</v>
      </c>
      <c r="C3">
        <v>0</v>
      </c>
      <c r="D3">
        <v>0</v>
      </c>
      <c r="F3" t="b">
        <f t="shared" si="0"/>
        <v>0</v>
      </c>
      <c r="G3">
        <f t="shared" si="1"/>
        <v>0</v>
      </c>
      <c r="M3">
        <f t="shared" si="2"/>
        <v>0</v>
      </c>
    </row>
    <row r="4" spans="1:13" x14ac:dyDescent="0.25">
      <c r="A4">
        <v>908.99</v>
      </c>
      <c r="B4">
        <v>5.26</v>
      </c>
      <c r="C4">
        <v>1</v>
      </c>
      <c r="D4">
        <v>18.829999999999998</v>
      </c>
      <c r="F4" t="b">
        <f t="shared" si="0"/>
        <v>0</v>
      </c>
      <c r="G4">
        <f t="shared" si="1"/>
        <v>18.829999999999998</v>
      </c>
      <c r="M4">
        <f t="shared" si="2"/>
        <v>0.28716963291699071</v>
      </c>
    </row>
    <row r="5" spans="1:13" x14ac:dyDescent="0.25">
      <c r="A5">
        <v>976.47</v>
      </c>
      <c r="B5">
        <v>2.1</v>
      </c>
      <c r="C5">
        <v>0</v>
      </c>
      <c r="D5">
        <v>0.16</v>
      </c>
      <c r="F5" t="b">
        <f t="shared" si="0"/>
        <v>0</v>
      </c>
      <c r="G5">
        <f t="shared" si="1"/>
        <v>0.16</v>
      </c>
      <c r="M5">
        <f t="shared" si="2"/>
        <v>2.4401030943557367E-3</v>
      </c>
    </row>
    <row r="6" spans="1:13" x14ac:dyDescent="0.25">
      <c r="A6">
        <v>893.09</v>
      </c>
      <c r="B6">
        <v>10.42</v>
      </c>
      <c r="C6">
        <v>2</v>
      </c>
      <c r="D6">
        <v>48.52</v>
      </c>
      <c r="F6" t="b">
        <f t="shared" si="0"/>
        <v>0</v>
      </c>
      <c r="G6">
        <f t="shared" si="1"/>
        <v>48.52</v>
      </c>
      <c r="M6">
        <f t="shared" si="2"/>
        <v>0.7399612633633772</v>
      </c>
    </row>
    <row r="7" spans="1:13" x14ac:dyDescent="0.25">
      <c r="A7">
        <v>933.95</v>
      </c>
      <c r="B7">
        <v>9.86</v>
      </c>
      <c r="C7">
        <v>2</v>
      </c>
      <c r="D7">
        <v>47.42</v>
      </c>
      <c r="F7" t="b">
        <f t="shared" si="0"/>
        <v>0</v>
      </c>
      <c r="G7">
        <f t="shared" si="1"/>
        <v>47.42</v>
      </c>
      <c r="M7">
        <f t="shared" si="2"/>
        <v>0.72318555458968148</v>
      </c>
    </row>
    <row r="8" spans="1:13" x14ac:dyDescent="0.25">
      <c r="A8">
        <v>965.11</v>
      </c>
      <c r="B8">
        <v>15.32</v>
      </c>
      <c r="C8">
        <v>2</v>
      </c>
      <c r="D8">
        <v>131.43</v>
      </c>
      <c r="F8" t="b">
        <f t="shared" si="0"/>
        <v>0</v>
      </c>
      <c r="G8">
        <f t="shared" si="1"/>
        <v>131.43</v>
      </c>
      <c r="M8">
        <f t="shared" si="2"/>
        <v>2.0043921855698406</v>
      </c>
    </row>
    <row r="9" spans="1:13" x14ac:dyDescent="0.25">
      <c r="A9">
        <v>909.69</v>
      </c>
      <c r="B9">
        <v>5.76</v>
      </c>
      <c r="C9">
        <v>1</v>
      </c>
      <c r="D9">
        <v>18.97</v>
      </c>
      <c r="F9" t="b">
        <f t="shared" si="0"/>
        <v>0</v>
      </c>
      <c r="G9">
        <f t="shared" si="1"/>
        <v>18.97</v>
      </c>
      <c r="M9">
        <f t="shared" si="2"/>
        <v>0.28930472312455202</v>
      </c>
    </row>
    <row r="10" spans="1:13" x14ac:dyDescent="0.25">
      <c r="A10">
        <v>845.42</v>
      </c>
      <c r="B10">
        <v>24.8</v>
      </c>
      <c r="C10">
        <v>5</v>
      </c>
      <c r="D10">
        <v>167.16</v>
      </c>
      <c r="F10" t="b">
        <f t="shared" si="0"/>
        <v>1</v>
      </c>
      <c r="G10">
        <f t="shared" si="1"/>
        <v>235.91129032258064</v>
      </c>
      <c r="M10">
        <f t="shared" si="2"/>
        <v>3.5977991844348973</v>
      </c>
    </row>
    <row r="11" spans="1:13" x14ac:dyDescent="0.25">
      <c r="A11">
        <v>899.61</v>
      </c>
      <c r="B11">
        <v>9.36</v>
      </c>
      <c r="C11">
        <v>2</v>
      </c>
      <c r="D11">
        <v>47.61</v>
      </c>
      <c r="F11" t="b">
        <f t="shared" si="0"/>
        <v>0</v>
      </c>
      <c r="G11">
        <f t="shared" si="1"/>
        <v>47.61</v>
      </c>
      <c r="M11">
        <f t="shared" si="2"/>
        <v>0.72608317701422886</v>
      </c>
    </row>
    <row r="12" spans="1:13" x14ac:dyDescent="0.25">
      <c r="A12">
        <v>936.31</v>
      </c>
      <c r="B12">
        <v>10.26</v>
      </c>
      <c r="C12">
        <v>2</v>
      </c>
      <c r="D12">
        <v>47.43</v>
      </c>
      <c r="F12" t="b">
        <f t="shared" si="0"/>
        <v>0</v>
      </c>
      <c r="G12">
        <f t="shared" si="1"/>
        <v>47.43</v>
      </c>
      <c r="M12">
        <f t="shared" si="2"/>
        <v>0.72333806103307863</v>
      </c>
    </row>
    <row r="13" spans="1:13" x14ac:dyDescent="0.25">
      <c r="A13">
        <v>985.92</v>
      </c>
      <c r="B13">
        <v>23.12</v>
      </c>
      <c r="C13">
        <v>3</v>
      </c>
      <c r="D13">
        <v>167.17</v>
      </c>
      <c r="F13" t="b">
        <f t="shared" si="0"/>
        <v>1</v>
      </c>
      <c r="G13">
        <f t="shared" si="1"/>
        <v>253.06877162629755</v>
      </c>
      <c r="M13">
        <f t="shared" si="2"/>
        <v>3.8594618295633367</v>
      </c>
    </row>
    <row r="14" spans="1:13" x14ac:dyDescent="0.25">
      <c r="A14">
        <v>846.01</v>
      </c>
      <c r="B14">
        <v>5.32</v>
      </c>
      <c r="C14">
        <v>1</v>
      </c>
      <c r="D14">
        <v>18.600000000000001</v>
      </c>
      <c r="F14" t="b">
        <f t="shared" si="0"/>
        <v>0</v>
      </c>
      <c r="G14">
        <f t="shared" si="1"/>
        <v>18.600000000000001</v>
      </c>
      <c r="M14">
        <f t="shared" si="2"/>
        <v>0.2836619847188544</v>
      </c>
    </row>
    <row r="15" spans="1:13" x14ac:dyDescent="0.25">
      <c r="A15">
        <v>897.57</v>
      </c>
      <c r="B15">
        <v>7.18</v>
      </c>
      <c r="C15">
        <v>1</v>
      </c>
      <c r="D15">
        <v>47.7</v>
      </c>
      <c r="F15" t="b">
        <f t="shared" si="0"/>
        <v>0</v>
      </c>
      <c r="G15">
        <f t="shared" si="1"/>
        <v>47.7</v>
      </c>
      <c r="M15">
        <f t="shared" si="2"/>
        <v>0.72745573500480398</v>
      </c>
    </row>
    <row r="16" spans="1:13" x14ac:dyDescent="0.25">
      <c r="A16">
        <v>943.47</v>
      </c>
      <c r="B16">
        <v>9.1199999999999992</v>
      </c>
      <c r="C16">
        <v>1</v>
      </c>
      <c r="D16">
        <v>45.08</v>
      </c>
      <c r="F16" t="b">
        <f t="shared" si="0"/>
        <v>0</v>
      </c>
      <c r="G16">
        <f t="shared" si="1"/>
        <v>45.08</v>
      </c>
      <c r="M16">
        <f t="shared" si="2"/>
        <v>0.68749904683472873</v>
      </c>
    </row>
    <row r="17" spans="1:13" x14ac:dyDescent="0.25">
      <c r="A17">
        <v>920.36</v>
      </c>
      <c r="B17">
        <v>10</v>
      </c>
      <c r="C17">
        <v>2</v>
      </c>
      <c r="D17">
        <v>47.52</v>
      </c>
      <c r="F17" t="b">
        <f t="shared" si="0"/>
        <v>0</v>
      </c>
      <c r="G17">
        <f t="shared" si="1"/>
        <v>47.52</v>
      </c>
      <c r="M17">
        <f t="shared" si="2"/>
        <v>0.72471061902365386</v>
      </c>
    </row>
    <row r="18" spans="1:13" x14ac:dyDescent="0.25">
      <c r="A18">
        <v>908.14</v>
      </c>
      <c r="B18">
        <v>9.6199999999999992</v>
      </c>
      <c r="C18">
        <v>2</v>
      </c>
      <c r="D18">
        <v>47.52</v>
      </c>
      <c r="F18" t="b">
        <f t="shared" si="0"/>
        <v>0</v>
      </c>
      <c r="G18">
        <f t="shared" si="1"/>
        <v>47.52</v>
      </c>
      <c r="M18">
        <f t="shared" si="2"/>
        <v>0.72471061902365386</v>
      </c>
    </row>
    <row r="19" spans="1:13" x14ac:dyDescent="0.25">
      <c r="A19">
        <v>972.95</v>
      </c>
      <c r="B19">
        <v>10.039999999999999</v>
      </c>
      <c r="C19">
        <v>2</v>
      </c>
      <c r="D19">
        <v>47.41</v>
      </c>
      <c r="F19" t="b">
        <f t="shared" si="0"/>
        <v>0</v>
      </c>
      <c r="G19">
        <f t="shared" si="1"/>
        <v>47.41</v>
      </c>
      <c r="M19">
        <f t="shared" si="2"/>
        <v>0.72303304814628411</v>
      </c>
    </row>
    <row r="20" spans="1:13" x14ac:dyDescent="0.25">
      <c r="A20">
        <v>856.8</v>
      </c>
      <c r="B20">
        <v>32.06</v>
      </c>
      <c r="C20">
        <v>8</v>
      </c>
      <c r="D20">
        <v>167.19</v>
      </c>
      <c r="F20" t="b">
        <f t="shared" si="0"/>
        <v>1</v>
      </c>
      <c r="G20">
        <f t="shared" si="1"/>
        <v>182.52183406113537</v>
      </c>
      <c r="M20">
        <f t="shared" si="2"/>
        <v>2.7835755755003793</v>
      </c>
    </row>
    <row r="21" spans="1:13" x14ac:dyDescent="0.25">
      <c r="A21">
        <v>979.61</v>
      </c>
      <c r="B21">
        <v>10.220000000000001</v>
      </c>
      <c r="C21">
        <v>2</v>
      </c>
      <c r="D21">
        <v>47.4</v>
      </c>
      <c r="F21" t="b">
        <f t="shared" si="0"/>
        <v>0</v>
      </c>
      <c r="G21">
        <f t="shared" si="1"/>
        <v>47.4</v>
      </c>
      <c r="M21">
        <f t="shared" si="2"/>
        <v>0.72288054170288696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3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I1" t="s">
        <v>24</v>
      </c>
    </row>
    <row r="2" spans="1:13" x14ac:dyDescent="0.25">
      <c r="A2">
        <v>116.01</v>
      </c>
      <c r="B2">
        <v>1.48</v>
      </c>
      <c r="C2">
        <v>0</v>
      </c>
      <c r="D2">
        <v>0</v>
      </c>
      <c r="F2" t="b">
        <f t="shared" ref="F2:F21" si="0">(D2&gt;165)</f>
        <v>0</v>
      </c>
      <c r="G2">
        <f t="shared" ref="G2:G21" si="1">IF(F2,D2+((D2/B2)*(35-B2)),D2)</f>
        <v>0</v>
      </c>
      <c r="I2">
        <f>_xlfn.T.TEST(G2:G21,control!G2:G21,1,3)</f>
        <v>0.46337970508833265</v>
      </c>
      <c r="M2">
        <f t="shared" ref="M2:M21" si="2">G2/65.571</f>
        <v>0</v>
      </c>
    </row>
    <row r="3" spans="1:13" x14ac:dyDescent="0.25">
      <c r="A3">
        <v>112.47</v>
      </c>
      <c r="B3">
        <v>1.48</v>
      </c>
      <c r="C3">
        <v>0</v>
      </c>
      <c r="D3">
        <v>0</v>
      </c>
      <c r="F3" t="b">
        <f t="shared" si="0"/>
        <v>0</v>
      </c>
      <c r="G3">
        <f t="shared" si="1"/>
        <v>0</v>
      </c>
      <c r="M3">
        <f t="shared" si="2"/>
        <v>0</v>
      </c>
    </row>
    <row r="4" spans="1:13" x14ac:dyDescent="0.25">
      <c r="A4">
        <v>133.94999999999999</v>
      </c>
      <c r="B4">
        <v>2</v>
      </c>
      <c r="C4">
        <v>0</v>
      </c>
      <c r="D4">
        <v>0</v>
      </c>
      <c r="F4" t="b">
        <f t="shared" si="0"/>
        <v>0</v>
      </c>
      <c r="G4">
        <f t="shared" si="1"/>
        <v>0</v>
      </c>
      <c r="M4">
        <f t="shared" si="2"/>
        <v>0</v>
      </c>
    </row>
    <row r="5" spans="1:13" x14ac:dyDescent="0.25">
      <c r="A5">
        <v>124.56</v>
      </c>
      <c r="B5">
        <v>29.46</v>
      </c>
      <c r="C5">
        <v>7</v>
      </c>
      <c r="D5">
        <v>167.06</v>
      </c>
      <c r="F5" t="b">
        <f t="shared" si="0"/>
        <v>1</v>
      </c>
      <c r="G5">
        <f t="shared" si="1"/>
        <v>198.47589952477935</v>
      </c>
      <c r="M5">
        <f t="shared" si="2"/>
        <v>3.0268853536590772</v>
      </c>
    </row>
    <row r="6" spans="1:13" x14ac:dyDescent="0.25">
      <c r="A6">
        <v>115.16</v>
      </c>
      <c r="B6">
        <v>9.4600000000000009</v>
      </c>
      <c r="C6">
        <v>2</v>
      </c>
      <c r="D6">
        <v>47.69</v>
      </c>
      <c r="F6" t="b">
        <f t="shared" si="0"/>
        <v>0</v>
      </c>
      <c r="G6">
        <f t="shared" si="1"/>
        <v>47.69</v>
      </c>
      <c r="M6">
        <f t="shared" si="2"/>
        <v>0.72730322856140672</v>
      </c>
    </row>
    <row r="7" spans="1:13" x14ac:dyDescent="0.25">
      <c r="A7">
        <v>121.03</v>
      </c>
      <c r="B7">
        <v>9.56</v>
      </c>
      <c r="C7">
        <v>2</v>
      </c>
      <c r="D7">
        <v>47.53</v>
      </c>
      <c r="F7" t="b">
        <f t="shared" si="0"/>
        <v>0</v>
      </c>
      <c r="G7">
        <f t="shared" si="1"/>
        <v>47.53</v>
      </c>
      <c r="M7">
        <f t="shared" si="2"/>
        <v>0.72486312546705101</v>
      </c>
    </row>
    <row r="8" spans="1:13" x14ac:dyDescent="0.25">
      <c r="A8">
        <v>124.32</v>
      </c>
      <c r="B8">
        <v>1.5</v>
      </c>
      <c r="C8">
        <v>0</v>
      </c>
      <c r="D8">
        <v>0</v>
      </c>
      <c r="F8" t="b">
        <f t="shared" si="0"/>
        <v>0</v>
      </c>
      <c r="G8">
        <f t="shared" si="1"/>
        <v>0</v>
      </c>
      <c r="M8">
        <f t="shared" si="2"/>
        <v>0</v>
      </c>
    </row>
    <row r="9" spans="1:13" x14ac:dyDescent="0.25">
      <c r="A9">
        <v>119.31</v>
      </c>
      <c r="B9">
        <v>1.48</v>
      </c>
      <c r="C9">
        <v>0</v>
      </c>
      <c r="D9">
        <v>0</v>
      </c>
      <c r="F9" t="b">
        <f t="shared" si="0"/>
        <v>0</v>
      </c>
      <c r="G9">
        <f t="shared" si="1"/>
        <v>0</v>
      </c>
      <c r="M9">
        <f t="shared" si="2"/>
        <v>0</v>
      </c>
    </row>
    <row r="10" spans="1:13" x14ac:dyDescent="0.25">
      <c r="A10">
        <v>109.35</v>
      </c>
      <c r="B10">
        <v>33.44</v>
      </c>
      <c r="C10">
        <v>9</v>
      </c>
      <c r="D10">
        <v>166.87</v>
      </c>
      <c r="F10" t="b">
        <f t="shared" si="0"/>
        <v>1</v>
      </c>
      <c r="G10">
        <f t="shared" si="1"/>
        <v>174.65460526315792</v>
      </c>
      <c r="M10">
        <f t="shared" si="2"/>
        <v>2.6635952671631959</v>
      </c>
    </row>
    <row r="11" spans="1:13" x14ac:dyDescent="0.25">
      <c r="A11">
        <v>119.86</v>
      </c>
      <c r="B11">
        <v>10.64</v>
      </c>
      <c r="C11">
        <v>2</v>
      </c>
      <c r="D11">
        <v>48.51</v>
      </c>
      <c r="F11" t="b">
        <f t="shared" si="0"/>
        <v>0</v>
      </c>
      <c r="G11">
        <f t="shared" si="1"/>
        <v>48.51</v>
      </c>
      <c r="M11">
        <f t="shared" si="2"/>
        <v>0.73980875691997983</v>
      </c>
    </row>
    <row r="12" spans="1:13" x14ac:dyDescent="0.25">
      <c r="A12">
        <v>115.73</v>
      </c>
      <c r="B12">
        <v>34.26</v>
      </c>
      <c r="C12">
        <v>9</v>
      </c>
      <c r="D12">
        <v>166.89</v>
      </c>
      <c r="F12" t="b">
        <f t="shared" si="0"/>
        <v>1</v>
      </c>
      <c r="G12">
        <f t="shared" si="1"/>
        <v>170.49474605954467</v>
      </c>
      <c r="M12">
        <f t="shared" si="2"/>
        <v>2.6001547339455655</v>
      </c>
    </row>
    <row r="13" spans="1:13" x14ac:dyDescent="0.25">
      <c r="A13">
        <v>128.59</v>
      </c>
      <c r="B13">
        <v>1.5</v>
      </c>
      <c r="C13">
        <v>0</v>
      </c>
      <c r="D13">
        <v>0</v>
      </c>
      <c r="F13" t="b">
        <f t="shared" si="0"/>
        <v>0</v>
      </c>
      <c r="G13">
        <f t="shared" si="1"/>
        <v>0</v>
      </c>
      <c r="M13">
        <f t="shared" si="2"/>
        <v>0</v>
      </c>
    </row>
    <row r="14" spans="1:13" x14ac:dyDescent="0.25">
      <c r="A14">
        <v>117.12</v>
      </c>
      <c r="B14">
        <v>5.88</v>
      </c>
      <c r="C14">
        <v>1</v>
      </c>
      <c r="D14">
        <v>18.600000000000001</v>
      </c>
      <c r="F14" t="b">
        <f t="shared" si="0"/>
        <v>0</v>
      </c>
      <c r="G14">
        <f t="shared" si="1"/>
        <v>18.600000000000001</v>
      </c>
      <c r="M14">
        <f t="shared" si="2"/>
        <v>0.2836619847188544</v>
      </c>
    </row>
    <row r="15" spans="1:13" x14ac:dyDescent="0.25">
      <c r="A15">
        <v>113.49</v>
      </c>
      <c r="B15">
        <v>9.5399999999999991</v>
      </c>
      <c r="C15">
        <v>2</v>
      </c>
      <c r="D15">
        <v>48.37</v>
      </c>
      <c r="F15" t="b">
        <f t="shared" si="0"/>
        <v>0</v>
      </c>
      <c r="G15">
        <f t="shared" si="1"/>
        <v>48.37</v>
      </c>
      <c r="M15">
        <f t="shared" si="2"/>
        <v>0.73767366671241863</v>
      </c>
    </row>
    <row r="16" spans="1:13" x14ac:dyDescent="0.25">
      <c r="A16">
        <v>114.27</v>
      </c>
      <c r="B16">
        <v>25.12</v>
      </c>
      <c r="C16">
        <v>6</v>
      </c>
      <c r="D16">
        <v>166.9</v>
      </c>
      <c r="F16" t="b">
        <f t="shared" si="0"/>
        <v>1</v>
      </c>
      <c r="G16">
        <f t="shared" si="1"/>
        <v>232.54378980891721</v>
      </c>
      <c r="M16">
        <f t="shared" si="2"/>
        <v>3.5464426317871807</v>
      </c>
    </row>
    <row r="17" spans="1:13" x14ac:dyDescent="0.25">
      <c r="A17">
        <v>120.03</v>
      </c>
      <c r="B17">
        <v>5.66</v>
      </c>
      <c r="C17">
        <v>1</v>
      </c>
      <c r="D17">
        <v>18.59</v>
      </c>
      <c r="F17" t="b">
        <f t="shared" si="0"/>
        <v>0</v>
      </c>
      <c r="G17">
        <f t="shared" si="1"/>
        <v>18.59</v>
      </c>
      <c r="M17">
        <f t="shared" si="2"/>
        <v>0.28350947827545714</v>
      </c>
    </row>
    <row r="18" spans="1:13" x14ac:dyDescent="0.25">
      <c r="A18">
        <v>109.21</v>
      </c>
      <c r="B18">
        <v>10.7</v>
      </c>
      <c r="C18">
        <v>2</v>
      </c>
      <c r="D18">
        <v>47.57</v>
      </c>
      <c r="F18" t="b">
        <f t="shared" si="0"/>
        <v>0</v>
      </c>
      <c r="G18">
        <f t="shared" si="1"/>
        <v>47.57</v>
      </c>
      <c r="M18">
        <f t="shared" si="2"/>
        <v>0.72547315124063994</v>
      </c>
    </row>
    <row r="19" spans="1:13" x14ac:dyDescent="0.25">
      <c r="A19">
        <v>110.92</v>
      </c>
      <c r="B19">
        <v>20.36</v>
      </c>
      <c r="C19">
        <v>4</v>
      </c>
      <c r="D19">
        <v>130.72999999999999</v>
      </c>
      <c r="F19" t="b">
        <f t="shared" si="0"/>
        <v>0</v>
      </c>
      <c r="G19">
        <f t="shared" si="1"/>
        <v>130.72999999999999</v>
      </c>
      <c r="M19">
        <f t="shared" si="2"/>
        <v>1.9937167345320339</v>
      </c>
    </row>
    <row r="20" spans="1:13" x14ac:dyDescent="0.25">
      <c r="A20">
        <v>127.91</v>
      </c>
      <c r="B20">
        <v>2</v>
      </c>
      <c r="C20">
        <v>0</v>
      </c>
      <c r="D20">
        <v>0.18</v>
      </c>
      <c r="F20" t="b">
        <f t="shared" si="0"/>
        <v>0</v>
      </c>
      <c r="G20">
        <f t="shared" si="1"/>
        <v>0.18</v>
      </c>
      <c r="M20">
        <f t="shared" si="2"/>
        <v>2.7451159811502034E-3</v>
      </c>
    </row>
    <row r="21" spans="1:13" x14ac:dyDescent="0.25">
      <c r="A21">
        <v>92.68</v>
      </c>
      <c r="B21">
        <v>33.64</v>
      </c>
      <c r="C21">
        <v>9</v>
      </c>
      <c r="D21">
        <v>166.87</v>
      </c>
      <c r="F21" t="b">
        <f t="shared" si="0"/>
        <v>1</v>
      </c>
      <c r="G21">
        <f t="shared" si="1"/>
        <v>173.61623067776458</v>
      </c>
      <c r="M21">
        <f t="shared" si="2"/>
        <v>2.6477593856699544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4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I1" t="s">
        <v>24</v>
      </c>
      <c r="J1" t="s">
        <v>25</v>
      </c>
    </row>
    <row r="2" spans="1:13" x14ac:dyDescent="0.25">
      <c r="A2">
        <v>123.67</v>
      </c>
      <c r="B2">
        <v>6.08</v>
      </c>
      <c r="C2">
        <v>1</v>
      </c>
      <c r="D2">
        <v>20.82</v>
      </c>
      <c r="F2" t="b">
        <f t="shared" ref="F2:F21" si="0">(D2&gt;165)</f>
        <v>0</v>
      </c>
      <c r="G2">
        <f t="shared" ref="G2:G21" si="1">IF(F2,D2+((D2/B2)*(35-B2)),D2)</f>
        <v>20.82</v>
      </c>
      <c r="I2">
        <f>_xlfn.T.TEST(G2:G21,control!G2:G21,1,3)</f>
        <v>0.19817009827829829</v>
      </c>
      <c r="J2">
        <f>_xlfn.T.TEST(G2:G21,'small-batchsize'!G2:G21,1,3)</f>
        <v>0.22523868201848973</v>
      </c>
      <c r="M2">
        <f t="shared" ref="M2:M21" si="2">G2/65.571</f>
        <v>0.31751841515304025</v>
      </c>
    </row>
    <row r="3" spans="1:13" x14ac:dyDescent="0.25">
      <c r="A3">
        <v>129.44999999999999</v>
      </c>
      <c r="B3">
        <v>33.880000000000003</v>
      </c>
      <c r="C3">
        <v>9</v>
      </c>
      <c r="D3">
        <v>166.87</v>
      </c>
      <c r="F3" t="b">
        <f t="shared" si="0"/>
        <v>1</v>
      </c>
      <c r="G3">
        <f t="shared" si="1"/>
        <v>172.38636363636363</v>
      </c>
      <c r="M3">
        <f t="shared" si="2"/>
        <v>2.6290031208364009</v>
      </c>
    </row>
    <row r="4" spans="1:13" x14ac:dyDescent="0.25">
      <c r="A4">
        <v>120.64</v>
      </c>
      <c r="B4">
        <v>29.32</v>
      </c>
      <c r="C4">
        <v>6</v>
      </c>
      <c r="D4">
        <v>143.27000000000001</v>
      </c>
      <c r="F4" t="b">
        <f t="shared" si="0"/>
        <v>0</v>
      </c>
      <c r="G4">
        <f t="shared" si="1"/>
        <v>143.27000000000001</v>
      </c>
      <c r="M4">
        <f t="shared" si="2"/>
        <v>2.1849598145521649</v>
      </c>
    </row>
    <row r="5" spans="1:13" x14ac:dyDescent="0.25">
      <c r="A5">
        <v>127.9</v>
      </c>
      <c r="B5">
        <v>5.38</v>
      </c>
      <c r="C5">
        <v>1</v>
      </c>
      <c r="D5">
        <v>18.91</v>
      </c>
      <c r="F5" t="b">
        <f t="shared" si="0"/>
        <v>0</v>
      </c>
      <c r="G5">
        <f t="shared" si="1"/>
        <v>18.91</v>
      </c>
      <c r="M5">
        <f t="shared" si="2"/>
        <v>0.28838968446416863</v>
      </c>
    </row>
    <row r="6" spans="1:13" x14ac:dyDescent="0.25">
      <c r="A6">
        <v>127.72</v>
      </c>
      <c r="B6">
        <v>9.24</v>
      </c>
      <c r="C6">
        <v>2</v>
      </c>
      <c r="D6">
        <v>47.43</v>
      </c>
      <c r="F6" t="b">
        <f t="shared" si="0"/>
        <v>0</v>
      </c>
      <c r="G6">
        <f t="shared" si="1"/>
        <v>47.43</v>
      </c>
      <c r="M6">
        <f t="shared" si="2"/>
        <v>0.72333806103307863</v>
      </c>
    </row>
    <row r="7" spans="1:13" x14ac:dyDescent="0.25">
      <c r="A7">
        <v>130.84</v>
      </c>
      <c r="B7">
        <v>10.119999999999999</v>
      </c>
      <c r="C7">
        <v>2</v>
      </c>
      <c r="D7">
        <v>47.59</v>
      </c>
      <c r="F7" t="b">
        <f t="shared" si="0"/>
        <v>0</v>
      </c>
      <c r="G7">
        <f t="shared" si="1"/>
        <v>47.59</v>
      </c>
      <c r="M7">
        <f t="shared" si="2"/>
        <v>0.72577816412743446</v>
      </c>
    </row>
    <row r="8" spans="1:13" x14ac:dyDescent="0.25">
      <c r="A8">
        <v>125.52</v>
      </c>
      <c r="B8">
        <v>1.34</v>
      </c>
      <c r="C8">
        <v>0</v>
      </c>
      <c r="D8">
        <v>0</v>
      </c>
      <c r="F8" t="b">
        <f t="shared" si="0"/>
        <v>0</v>
      </c>
      <c r="G8">
        <f t="shared" si="1"/>
        <v>0</v>
      </c>
      <c r="M8">
        <f t="shared" si="2"/>
        <v>0</v>
      </c>
    </row>
    <row r="9" spans="1:13" x14ac:dyDescent="0.25">
      <c r="A9">
        <v>109.48</v>
      </c>
      <c r="B9">
        <v>33.08</v>
      </c>
      <c r="C9">
        <v>9</v>
      </c>
      <c r="D9">
        <v>166.87</v>
      </c>
      <c r="F9" t="b">
        <f t="shared" si="0"/>
        <v>1</v>
      </c>
      <c r="G9">
        <f t="shared" si="1"/>
        <v>176.55532043530835</v>
      </c>
      <c r="M9">
        <f t="shared" si="2"/>
        <v>2.6925823982447783</v>
      </c>
    </row>
    <row r="10" spans="1:13" x14ac:dyDescent="0.25">
      <c r="A10">
        <v>146.58000000000001</v>
      </c>
      <c r="B10">
        <v>33.26</v>
      </c>
      <c r="C10">
        <v>9</v>
      </c>
      <c r="D10">
        <v>166.87</v>
      </c>
      <c r="F10" t="b">
        <f t="shared" si="0"/>
        <v>1</v>
      </c>
      <c r="G10">
        <f t="shared" si="1"/>
        <v>175.59981960312689</v>
      </c>
      <c r="M10">
        <f t="shared" si="2"/>
        <v>2.678010394886869</v>
      </c>
    </row>
    <row r="11" spans="1:13" x14ac:dyDescent="0.25">
      <c r="A11">
        <v>137.5</v>
      </c>
      <c r="B11">
        <v>1.34</v>
      </c>
      <c r="C11">
        <v>0</v>
      </c>
      <c r="D11">
        <v>0</v>
      </c>
      <c r="F11" t="b">
        <f t="shared" si="0"/>
        <v>0</v>
      </c>
      <c r="G11">
        <f t="shared" si="1"/>
        <v>0</v>
      </c>
      <c r="M11">
        <f t="shared" si="2"/>
        <v>0</v>
      </c>
    </row>
    <row r="12" spans="1:13" x14ac:dyDescent="0.25">
      <c r="A12">
        <v>154.88</v>
      </c>
      <c r="B12">
        <v>19.420000000000002</v>
      </c>
      <c r="C12">
        <v>4</v>
      </c>
      <c r="D12">
        <v>130.85</v>
      </c>
      <c r="F12" t="b">
        <f t="shared" si="0"/>
        <v>0</v>
      </c>
      <c r="G12">
        <f t="shared" si="1"/>
        <v>130.85</v>
      </c>
      <c r="M12">
        <f t="shared" si="2"/>
        <v>1.9955468118528008</v>
      </c>
    </row>
    <row r="13" spans="1:13" x14ac:dyDescent="0.25">
      <c r="A13">
        <v>96.12</v>
      </c>
      <c r="B13">
        <v>25.44</v>
      </c>
      <c r="C13">
        <v>5</v>
      </c>
      <c r="D13">
        <v>167.09</v>
      </c>
      <c r="F13" t="b">
        <f t="shared" si="0"/>
        <v>1</v>
      </c>
      <c r="G13">
        <f t="shared" si="1"/>
        <v>229.88011006289307</v>
      </c>
      <c r="M13">
        <f t="shared" si="2"/>
        <v>3.5058197993456419</v>
      </c>
    </row>
    <row r="14" spans="1:13" x14ac:dyDescent="0.25">
      <c r="A14">
        <v>125.32</v>
      </c>
      <c r="B14">
        <v>25.04</v>
      </c>
      <c r="C14">
        <v>5</v>
      </c>
      <c r="D14">
        <v>166.9</v>
      </c>
      <c r="F14" t="b">
        <f t="shared" si="0"/>
        <v>1</v>
      </c>
      <c r="G14">
        <f t="shared" si="1"/>
        <v>233.28674121405754</v>
      </c>
      <c r="M14">
        <f t="shared" si="2"/>
        <v>3.5577731194286737</v>
      </c>
    </row>
    <row r="15" spans="1:13" x14ac:dyDescent="0.25">
      <c r="A15">
        <v>122.12</v>
      </c>
      <c r="B15">
        <v>9.9</v>
      </c>
      <c r="C15">
        <v>2</v>
      </c>
      <c r="D15">
        <v>47.7</v>
      </c>
      <c r="F15" t="b">
        <f t="shared" si="0"/>
        <v>0</v>
      </c>
      <c r="G15">
        <f t="shared" si="1"/>
        <v>47.7</v>
      </c>
      <c r="M15">
        <f t="shared" si="2"/>
        <v>0.72745573500480398</v>
      </c>
    </row>
    <row r="16" spans="1:13" x14ac:dyDescent="0.25">
      <c r="A16">
        <v>133.55000000000001</v>
      </c>
      <c r="B16">
        <v>1.5</v>
      </c>
      <c r="C16">
        <v>0</v>
      </c>
      <c r="D16">
        <v>0</v>
      </c>
      <c r="F16" t="b">
        <f t="shared" si="0"/>
        <v>0</v>
      </c>
      <c r="G16">
        <f t="shared" si="1"/>
        <v>0</v>
      </c>
      <c r="M16">
        <f t="shared" si="2"/>
        <v>0</v>
      </c>
    </row>
    <row r="17" spans="1:13" x14ac:dyDescent="0.25">
      <c r="A17">
        <v>100.75</v>
      </c>
      <c r="B17">
        <v>1.5</v>
      </c>
      <c r="C17">
        <v>0</v>
      </c>
      <c r="D17">
        <v>0</v>
      </c>
      <c r="F17" t="b">
        <f t="shared" si="0"/>
        <v>0</v>
      </c>
      <c r="G17">
        <f t="shared" si="1"/>
        <v>0</v>
      </c>
      <c r="M17">
        <f t="shared" si="2"/>
        <v>0</v>
      </c>
    </row>
    <row r="18" spans="1:13" x14ac:dyDescent="0.25">
      <c r="A18">
        <v>132.87</v>
      </c>
      <c r="B18">
        <v>10.06</v>
      </c>
      <c r="C18">
        <v>2</v>
      </c>
      <c r="D18">
        <v>48.61</v>
      </c>
      <c r="F18" t="b">
        <f t="shared" si="0"/>
        <v>0</v>
      </c>
      <c r="G18">
        <f t="shared" si="1"/>
        <v>48.61</v>
      </c>
      <c r="M18">
        <f t="shared" si="2"/>
        <v>0.7413338213539522</v>
      </c>
    </row>
    <row r="19" spans="1:13" x14ac:dyDescent="0.25">
      <c r="A19">
        <v>144.21</v>
      </c>
      <c r="B19">
        <v>27</v>
      </c>
      <c r="C19">
        <v>6</v>
      </c>
      <c r="D19">
        <v>166.87</v>
      </c>
      <c r="F19" t="b">
        <f t="shared" si="0"/>
        <v>1</v>
      </c>
      <c r="G19">
        <f t="shared" si="1"/>
        <v>216.31296296296296</v>
      </c>
      <c r="M19">
        <f t="shared" si="2"/>
        <v>3.2989120642198984</v>
      </c>
    </row>
    <row r="20" spans="1:13" x14ac:dyDescent="0.25">
      <c r="A20">
        <v>135.51</v>
      </c>
      <c r="B20">
        <v>8.52</v>
      </c>
      <c r="C20">
        <v>1</v>
      </c>
      <c r="D20">
        <v>48.47</v>
      </c>
      <c r="F20" t="b">
        <f t="shared" si="0"/>
        <v>0</v>
      </c>
      <c r="G20">
        <f t="shared" si="1"/>
        <v>48.47</v>
      </c>
      <c r="M20">
        <f t="shared" si="2"/>
        <v>0.7391987311463909</v>
      </c>
    </row>
    <row r="21" spans="1:13" x14ac:dyDescent="0.25">
      <c r="A21">
        <v>124.01</v>
      </c>
      <c r="B21">
        <v>1.9</v>
      </c>
      <c r="C21">
        <v>0</v>
      </c>
      <c r="D21">
        <v>0</v>
      </c>
      <c r="F21" t="b">
        <f t="shared" si="0"/>
        <v>0</v>
      </c>
      <c r="G21">
        <f t="shared" si="1"/>
        <v>0</v>
      </c>
      <c r="M21">
        <f t="shared" si="2"/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4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164.76</v>
      </c>
      <c r="B2">
        <v>9.4</v>
      </c>
      <c r="C2">
        <v>2</v>
      </c>
      <c r="D2">
        <v>47.25</v>
      </c>
      <c r="F2" t="b">
        <f t="shared" ref="F2:F21" si="0">(D2&gt;165)</f>
        <v>0</v>
      </c>
      <c r="G2">
        <f t="shared" ref="G2:G21" si="1">IF(F2,D2+((D2/B2)*(35-B2)),D2)</f>
        <v>47.25</v>
      </c>
      <c r="M2">
        <f t="shared" ref="M2:M21" si="2">G2/65.571</f>
        <v>0.7205929450519285</v>
      </c>
    </row>
    <row r="3" spans="1:13" x14ac:dyDescent="0.25">
      <c r="A3">
        <v>187.17</v>
      </c>
      <c r="B3">
        <v>9.52</v>
      </c>
      <c r="C3">
        <v>2</v>
      </c>
      <c r="D3">
        <v>47.58</v>
      </c>
      <c r="F3" t="b">
        <f t="shared" si="0"/>
        <v>0</v>
      </c>
      <c r="G3">
        <f t="shared" si="1"/>
        <v>47.58</v>
      </c>
      <c r="M3">
        <f t="shared" si="2"/>
        <v>0.7256256576840372</v>
      </c>
    </row>
    <row r="4" spans="1:13" x14ac:dyDescent="0.25">
      <c r="A4">
        <v>162.88999999999999</v>
      </c>
      <c r="B4">
        <v>24.76</v>
      </c>
      <c r="C4">
        <v>6</v>
      </c>
      <c r="D4">
        <v>166.71</v>
      </c>
      <c r="F4" t="b">
        <f t="shared" si="0"/>
        <v>1</v>
      </c>
      <c r="G4">
        <f t="shared" si="1"/>
        <v>235.65630048465266</v>
      </c>
      <c r="M4">
        <f t="shared" si="2"/>
        <v>3.5939104251064138</v>
      </c>
    </row>
    <row r="5" spans="1:13" x14ac:dyDescent="0.25">
      <c r="A5">
        <v>190.35</v>
      </c>
      <c r="B5">
        <v>9.52</v>
      </c>
      <c r="C5">
        <v>2</v>
      </c>
      <c r="D5">
        <v>47.33</v>
      </c>
      <c r="F5" t="b">
        <f t="shared" si="0"/>
        <v>0</v>
      </c>
      <c r="G5">
        <f t="shared" si="1"/>
        <v>47.33</v>
      </c>
      <c r="M5">
        <f t="shared" si="2"/>
        <v>0.72181299659910636</v>
      </c>
    </row>
    <row r="6" spans="1:13" x14ac:dyDescent="0.25">
      <c r="A6">
        <v>197.61</v>
      </c>
      <c r="B6">
        <v>23.8</v>
      </c>
      <c r="C6">
        <v>5</v>
      </c>
      <c r="D6">
        <v>166.83</v>
      </c>
      <c r="F6" t="b">
        <f t="shared" si="0"/>
        <v>1</v>
      </c>
      <c r="G6">
        <f t="shared" si="1"/>
        <v>245.33823529411765</v>
      </c>
      <c r="M6">
        <f t="shared" si="2"/>
        <v>3.7415661694059517</v>
      </c>
    </row>
    <row r="7" spans="1:13" x14ac:dyDescent="0.25">
      <c r="A7">
        <v>139.52000000000001</v>
      </c>
      <c r="B7">
        <v>9.5</v>
      </c>
      <c r="C7">
        <v>2</v>
      </c>
      <c r="D7">
        <v>47.46</v>
      </c>
      <c r="F7" t="b">
        <f t="shared" si="0"/>
        <v>0</v>
      </c>
      <c r="G7">
        <f t="shared" si="1"/>
        <v>47.46</v>
      </c>
      <c r="M7">
        <f t="shared" si="2"/>
        <v>0.72379558036327041</v>
      </c>
    </row>
    <row r="8" spans="1:13" x14ac:dyDescent="0.25">
      <c r="A8">
        <v>208.75</v>
      </c>
      <c r="B8">
        <v>22.62</v>
      </c>
      <c r="C8">
        <v>5</v>
      </c>
      <c r="D8">
        <v>166.77</v>
      </c>
      <c r="F8" t="b">
        <f t="shared" si="0"/>
        <v>1</v>
      </c>
      <c r="G8">
        <f t="shared" si="1"/>
        <v>258.04376657824935</v>
      </c>
      <c r="M8">
        <f t="shared" si="2"/>
        <v>3.9353337081674726</v>
      </c>
    </row>
    <row r="9" spans="1:13" x14ac:dyDescent="0.25">
      <c r="A9">
        <v>189.42</v>
      </c>
      <c r="B9">
        <v>31.42</v>
      </c>
      <c r="C9">
        <v>9</v>
      </c>
      <c r="D9">
        <v>167.06</v>
      </c>
      <c r="F9" t="b">
        <f t="shared" si="0"/>
        <v>1</v>
      </c>
      <c r="G9">
        <f t="shared" si="1"/>
        <v>186.09484404837681</v>
      </c>
      <c r="M9">
        <f t="shared" si="2"/>
        <v>2.838066280038078</v>
      </c>
    </row>
    <row r="10" spans="1:13" x14ac:dyDescent="0.25">
      <c r="A10">
        <v>185.91</v>
      </c>
      <c r="B10">
        <v>9.48</v>
      </c>
      <c r="C10">
        <v>2</v>
      </c>
      <c r="D10">
        <v>47.59</v>
      </c>
      <c r="F10" t="b">
        <f t="shared" si="0"/>
        <v>0</v>
      </c>
      <c r="G10">
        <f t="shared" si="1"/>
        <v>47.59</v>
      </c>
      <c r="M10">
        <f t="shared" si="2"/>
        <v>0.72577816412743446</v>
      </c>
    </row>
    <row r="11" spans="1:13" x14ac:dyDescent="0.25">
      <c r="A11">
        <v>145.78</v>
      </c>
      <c r="B11">
        <v>19.88</v>
      </c>
      <c r="C11">
        <v>2</v>
      </c>
      <c r="D11">
        <v>167.02</v>
      </c>
      <c r="F11" t="b">
        <f t="shared" si="0"/>
        <v>1</v>
      </c>
      <c r="G11">
        <f t="shared" si="1"/>
        <v>294.04929577464793</v>
      </c>
      <c r="M11">
        <f t="shared" si="2"/>
        <v>4.4844412282052728</v>
      </c>
    </row>
    <row r="12" spans="1:13" x14ac:dyDescent="0.25">
      <c r="A12">
        <v>175.29</v>
      </c>
      <c r="B12">
        <v>23.36</v>
      </c>
      <c r="C12">
        <v>5</v>
      </c>
      <c r="D12">
        <v>167.05</v>
      </c>
      <c r="F12" t="b">
        <f t="shared" si="0"/>
        <v>1</v>
      </c>
      <c r="G12">
        <f t="shared" si="1"/>
        <v>250.28895547945208</v>
      </c>
      <c r="M12">
        <f t="shared" si="2"/>
        <v>3.8170678421779765</v>
      </c>
    </row>
    <row r="13" spans="1:13" x14ac:dyDescent="0.25">
      <c r="A13">
        <v>194.24</v>
      </c>
      <c r="B13">
        <v>27.58</v>
      </c>
      <c r="C13">
        <v>7</v>
      </c>
      <c r="D13">
        <v>166.88</v>
      </c>
      <c r="F13" t="b">
        <f t="shared" si="0"/>
        <v>1</v>
      </c>
      <c r="G13">
        <f t="shared" si="1"/>
        <v>211.7766497461929</v>
      </c>
      <c r="M13">
        <f t="shared" si="2"/>
        <v>3.2297303647373519</v>
      </c>
    </row>
    <row r="14" spans="1:13" x14ac:dyDescent="0.25">
      <c r="A14">
        <v>153.91</v>
      </c>
      <c r="B14">
        <v>19.38</v>
      </c>
      <c r="C14">
        <v>4</v>
      </c>
      <c r="D14">
        <v>130.66</v>
      </c>
      <c r="F14" t="b">
        <f t="shared" si="0"/>
        <v>0</v>
      </c>
      <c r="G14">
        <f t="shared" si="1"/>
        <v>130.66</v>
      </c>
      <c r="M14">
        <f t="shared" si="2"/>
        <v>1.9926491894282534</v>
      </c>
    </row>
    <row r="15" spans="1:13" x14ac:dyDescent="0.25">
      <c r="A15">
        <v>195.95</v>
      </c>
      <c r="B15">
        <v>9.74</v>
      </c>
      <c r="C15">
        <v>2</v>
      </c>
      <c r="D15">
        <v>47.69</v>
      </c>
      <c r="F15" t="b">
        <f t="shared" si="0"/>
        <v>0</v>
      </c>
      <c r="G15">
        <f t="shared" si="1"/>
        <v>47.69</v>
      </c>
      <c r="M15">
        <f t="shared" si="2"/>
        <v>0.72730322856140672</v>
      </c>
    </row>
    <row r="16" spans="1:13" x14ac:dyDescent="0.25">
      <c r="A16">
        <v>172.65</v>
      </c>
      <c r="B16">
        <v>19.88</v>
      </c>
      <c r="C16">
        <v>4</v>
      </c>
      <c r="D16">
        <v>130.55000000000001</v>
      </c>
      <c r="F16" t="b">
        <f t="shared" si="0"/>
        <v>0</v>
      </c>
      <c r="G16">
        <f t="shared" si="1"/>
        <v>130.55000000000001</v>
      </c>
      <c r="M16">
        <f t="shared" si="2"/>
        <v>1.9909716185508841</v>
      </c>
    </row>
    <row r="17" spans="1:13" x14ac:dyDescent="0.25">
      <c r="A17">
        <v>175.11</v>
      </c>
      <c r="B17">
        <v>2.02</v>
      </c>
      <c r="C17">
        <v>0</v>
      </c>
      <c r="D17">
        <v>0</v>
      </c>
      <c r="F17" t="b">
        <f t="shared" si="0"/>
        <v>0</v>
      </c>
      <c r="G17">
        <f t="shared" si="1"/>
        <v>0</v>
      </c>
      <c r="M17">
        <f t="shared" si="2"/>
        <v>0</v>
      </c>
    </row>
    <row r="18" spans="1:13" x14ac:dyDescent="0.25">
      <c r="A18">
        <v>176.23</v>
      </c>
      <c r="B18">
        <v>22.02</v>
      </c>
      <c r="C18">
        <v>5</v>
      </c>
      <c r="D18">
        <v>166.71</v>
      </c>
      <c r="F18" t="b">
        <f t="shared" si="0"/>
        <v>1</v>
      </c>
      <c r="G18">
        <f t="shared" si="1"/>
        <v>264.97956403269757</v>
      </c>
      <c r="M18">
        <f t="shared" si="2"/>
        <v>4.0411090883576213</v>
      </c>
    </row>
    <row r="19" spans="1:13" x14ac:dyDescent="0.25">
      <c r="A19">
        <v>143.91999999999999</v>
      </c>
      <c r="B19">
        <v>1.94</v>
      </c>
      <c r="C19">
        <v>0</v>
      </c>
      <c r="D19">
        <v>0</v>
      </c>
      <c r="F19" t="b">
        <f t="shared" si="0"/>
        <v>0</v>
      </c>
      <c r="G19">
        <f t="shared" si="1"/>
        <v>0</v>
      </c>
      <c r="M19">
        <f t="shared" si="2"/>
        <v>0</v>
      </c>
    </row>
    <row r="20" spans="1:13" x14ac:dyDescent="0.25">
      <c r="A20">
        <v>167.64</v>
      </c>
      <c r="B20">
        <v>22.4</v>
      </c>
      <c r="C20">
        <v>5</v>
      </c>
      <c r="D20">
        <v>167.02</v>
      </c>
      <c r="F20" t="b">
        <f t="shared" si="0"/>
        <v>1</v>
      </c>
      <c r="G20">
        <f t="shared" si="1"/>
        <v>260.96875</v>
      </c>
      <c r="M20">
        <f t="shared" si="2"/>
        <v>3.9799415900321788</v>
      </c>
    </row>
    <row r="21" spans="1:13" x14ac:dyDescent="0.25">
      <c r="A21">
        <v>185.93</v>
      </c>
      <c r="B21">
        <v>8.98</v>
      </c>
      <c r="C21">
        <v>2</v>
      </c>
      <c r="D21">
        <v>47.2</v>
      </c>
      <c r="F21" t="b">
        <f t="shared" si="0"/>
        <v>0</v>
      </c>
      <c r="G21">
        <f t="shared" si="1"/>
        <v>47.2</v>
      </c>
      <c r="M21">
        <f t="shared" si="2"/>
        <v>0.71983041283494231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3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145.36000000000001</v>
      </c>
      <c r="B2">
        <v>1.9</v>
      </c>
      <c r="C2">
        <v>0</v>
      </c>
      <c r="D2">
        <v>0</v>
      </c>
      <c r="F2" t="b">
        <f t="shared" ref="F2:F21" si="0">(D2&gt;165)</f>
        <v>0</v>
      </c>
      <c r="G2">
        <f t="shared" ref="G2:G21" si="1">IF(F2,D2+((D2/B2)*(35-B2)),D2)</f>
        <v>0</v>
      </c>
      <c r="M2">
        <f t="shared" ref="M2:M21" si="2">G2/65.571</f>
        <v>0</v>
      </c>
    </row>
    <row r="3" spans="1:13" x14ac:dyDescent="0.25">
      <c r="A3">
        <v>227.64</v>
      </c>
      <c r="B3">
        <v>31.34</v>
      </c>
      <c r="C3">
        <v>9</v>
      </c>
      <c r="D3">
        <v>166.78</v>
      </c>
      <c r="F3" t="b">
        <f t="shared" si="0"/>
        <v>1</v>
      </c>
      <c r="G3">
        <f t="shared" si="1"/>
        <v>186.25717932354817</v>
      </c>
      <c r="M3">
        <f t="shared" si="2"/>
        <v>2.8405419975835078</v>
      </c>
    </row>
    <row r="4" spans="1:13" x14ac:dyDescent="0.25">
      <c r="A4">
        <v>217.55</v>
      </c>
      <c r="B4">
        <v>1.94</v>
      </c>
      <c r="C4">
        <v>0</v>
      </c>
      <c r="D4">
        <v>0</v>
      </c>
      <c r="F4" t="b">
        <f t="shared" si="0"/>
        <v>0</v>
      </c>
      <c r="G4">
        <f t="shared" si="1"/>
        <v>0</v>
      </c>
      <c r="M4">
        <f t="shared" si="2"/>
        <v>0</v>
      </c>
    </row>
    <row r="5" spans="1:13" x14ac:dyDescent="0.25">
      <c r="A5">
        <v>194.5</v>
      </c>
      <c r="B5">
        <v>9.64</v>
      </c>
      <c r="C5">
        <v>2</v>
      </c>
      <c r="D5">
        <v>47.67</v>
      </c>
      <c r="F5" t="b">
        <f t="shared" si="0"/>
        <v>0</v>
      </c>
      <c r="G5">
        <f t="shared" si="1"/>
        <v>47.67</v>
      </c>
      <c r="M5">
        <f t="shared" si="2"/>
        <v>0.72699821567461231</v>
      </c>
    </row>
    <row r="6" spans="1:13" x14ac:dyDescent="0.25">
      <c r="A6">
        <v>283.49</v>
      </c>
      <c r="B6">
        <v>23.74</v>
      </c>
      <c r="C6">
        <v>5</v>
      </c>
      <c r="D6">
        <v>166.91</v>
      </c>
      <c r="F6" t="b">
        <f t="shared" si="0"/>
        <v>1</v>
      </c>
      <c r="G6">
        <f t="shared" si="1"/>
        <v>246.07624262847514</v>
      </c>
      <c r="M6">
        <f t="shared" si="2"/>
        <v>3.7528212567823451</v>
      </c>
    </row>
    <row r="7" spans="1:13" x14ac:dyDescent="0.25">
      <c r="A7">
        <v>300.08999999999997</v>
      </c>
      <c r="B7">
        <v>6.9</v>
      </c>
      <c r="C7">
        <v>0</v>
      </c>
      <c r="D7">
        <v>42.17</v>
      </c>
      <c r="F7" t="b">
        <f t="shared" si="0"/>
        <v>0</v>
      </c>
      <c r="G7">
        <f t="shared" si="1"/>
        <v>42.17</v>
      </c>
      <c r="M7">
        <f t="shared" si="2"/>
        <v>0.64311967180613383</v>
      </c>
    </row>
    <row r="8" spans="1:13" x14ac:dyDescent="0.25">
      <c r="A8">
        <v>277.70999999999998</v>
      </c>
      <c r="B8">
        <v>9.34</v>
      </c>
      <c r="C8">
        <v>2</v>
      </c>
      <c r="D8">
        <v>47.38</v>
      </c>
      <c r="F8" t="b">
        <f t="shared" si="0"/>
        <v>0</v>
      </c>
      <c r="G8">
        <f t="shared" si="1"/>
        <v>47.38</v>
      </c>
      <c r="M8">
        <f t="shared" si="2"/>
        <v>0.72257552881609255</v>
      </c>
    </row>
    <row r="9" spans="1:13" x14ac:dyDescent="0.25">
      <c r="A9">
        <v>268.43</v>
      </c>
      <c r="B9">
        <v>31.48</v>
      </c>
      <c r="C9">
        <v>9</v>
      </c>
      <c r="D9">
        <v>167.06</v>
      </c>
      <c r="F9" t="b">
        <f t="shared" si="0"/>
        <v>1</v>
      </c>
      <c r="G9">
        <f t="shared" si="1"/>
        <v>185.74015247776367</v>
      </c>
      <c r="M9">
        <f t="shared" si="2"/>
        <v>2.8326570050443594</v>
      </c>
    </row>
    <row r="10" spans="1:13" x14ac:dyDescent="0.25">
      <c r="A10">
        <v>273.22000000000003</v>
      </c>
      <c r="B10">
        <v>9.34</v>
      </c>
      <c r="C10">
        <v>2</v>
      </c>
      <c r="D10">
        <v>47.58</v>
      </c>
      <c r="F10" t="b">
        <f t="shared" si="0"/>
        <v>0</v>
      </c>
      <c r="G10">
        <f t="shared" si="1"/>
        <v>47.58</v>
      </c>
      <c r="M10">
        <f t="shared" si="2"/>
        <v>0.7256256576840372</v>
      </c>
    </row>
    <row r="11" spans="1:13" x14ac:dyDescent="0.25">
      <c r="A11">
        <v>201.5</v>
      </c>
      <c r="B11">
        <v>18.940000000000001</v>
      </c>
      <c r="C11">
        <v>4</v>
      </c>
      <c r="D11">
        <v>130.66</v>
      </c>
      <c r="F11" t="b">
        <f t="shared" si="0"/>
        <v>0</v>
      </c>
      <c r="G11">
        <f t="shared" si="1"/>
        <v>130.66</v>
      </c>
      <c r="M11">
        <f t="shared" si="2"/>
        <v>1.9926491894282534</v>
      </c>
    </row>
    <row r="12" spans="1:13" x14ac:dyDescent="0.25">
      <c r="A12">
        <v>210.49</v>
      </c>
      <c r="B12">
        <v>9.5399999999999991</v>
      </c>
      <c r="C12">
        <v>2</v>
      </c>
      <c r="D12">
        <v>47.57</v>
      </c>
      <c r="F12" t="b">
        <f t="shared" si="0"/>
        <v>0</v>
      </c>
      <c r="G12">
        <f t="shared" si="1"/>
        <v>47.57</v>
      </c>
      <c r="M12">
        <f t="shared" si="2"/>
        <v>0.72547315124063994</v>
      </c>
    </row>
    <row r="13" spans="1:13" x14ac:dyDescent="0.25">
      <c r="A13">
        <v>287.11</v>
      </c>
      <c r="B13">
        <v>10.02</v>
      </c>
      <c r="C13">
        <v>2</v>
      </c>
      <c r="D13">
        <v>47.58</v>
      </c>
      <c r="F13" t="b">
        <f t="shared" si="0"/>
        <v>0</v>
      </c>
      <c r="G13">
        <f t="shared" si="1"/>
        <v>47.58</v>
      </c>
      <c r="M13">
        <f t="shared" si="2"/>
        <v>0.7256256576840372</v>
      </c>
    </row>
    <row r="14" spans="1:13" x14ac:dyDescent="0.25">
      <c r="A14">
        <v>266.82</v>
      </c>
      <c r="B14">
        <v>9.52</v>
      </c>
      <c r="C14">
        <v>2</v>
      </c>
      <c r="D14">
        <v>47.69</v>
      </c>
      <c r="F14" t="b">
        <f t="shared" si="0"/>
        <v>0</v>
      </c>
      <c r="G14">
        <f t="shared" si="1"/>
        <v>47.69</v>
      </c>
      <c r="M14">
        <f t="shared" si="2"/>
        <v>0.72730322856140672</v>
      </c>
    </row>
    <row r="15" spans="1:13" x14ac:dyDescent="0.25">
      <c r="A15">
        <v>301.77</v>
      </c>
      <c r="B15">
        <v>9.34</v>
      </c>
      <c r="C15">
        <v>2</v>
      </c>
      <c r="D15">
        <v>47.43</v>
      </c>
      <c r="F15" t="b">
        <f t="shared" si="0"/>
        <v>0</v>
      </c>
      <c r="G15">
        <f t="shared" si="1"/>
        <v>47.43</v>
      </c>
      <c r="M15">
        <f t="shared" si="2"/>
        <v>0.72333806103307863</v>
      </c>
    </row>
    <row r="16" spans="1:13" x14ac:dyDescent="0.25">
      <c r="A16">
        <v>293.74</v>
      </c>
      <c r="B16">
        <v>22.16</v>
      </c>
      <c r="C16">
        <v>5</v>
      </c>
      <c r="D16">
        <v>166.77</v>
      </c>
      <c r="F16" t="b">
        <f t="shared" si="0"/>
        <v>1</v>
      </c>
      <c r="G16">
        <f t="shared" si="1"/>
        <v>263.40027075812276</v>
      </c>
      <c r="M16">
        <f t="shared" si="2"/>
        <v>4.0170238483189635</v>
      </c>
    </row>
    <row r="17" spans="1:13" x14ac:dyDescent="0.25">
      <c r="A17">
        <v>221.28</v>
      </c>
      <c r="B17">
        <v>5.46</v>
      </c>
      <c r="C17">
        <v>1</v>
      </c>
      <c r="D17">
        <v>18.87</v>
      </c>
      <c r="F17" t="b">
        <f t="shared" si="0"/>
        <v>0</v>
      </c>
      <c r="G17">
        <f t="shared" si="1"/>
        <v>18.87</v>
      </c>
      <c r="M17">
        <f t="shared" si="2"/>
        <v>0.2877796586905797</v>
      </c>
    </row>
    <row r="18" spans="1:13" x14ac:dyDescent="0.25">
      <c r="A18">
        <v>237.49</v>
      </c>
      <c r="B18">
        <v>11.9</v>
      </c>
      <c r="C18">
        <v>3</v>
      </c>
      <c r="D18">
        <v>49.78</v>
      </c>
      <c r="F18" t="b">
        <f t="shared" si="0"/>
        <v>0</v>
      </c>
      <c r="G18">
        <f t="shared" si="1"/>
        <v>49.78</v>
      </c>
      <c r="M18">
        <f t="shared" si="2"/>
        <v>0.75917707523142852</v>
      </c>
    </row>
    <row r="19" spans="1:13" x14ac:dyDescent="0.25">
      <c r="A19">
        <v>220.76</v>
      </c>
      <c r="B19">
        <v>9.6199999999999992</v>
      </c>
      <c r="C19">
        <v>2</v>
      </c>
      <c r="D19">
        <v>47.65</v>
      </c>
      <c r="F19" t="b">
        <f t="shared" si="0"/>
        <v>0</v>
      </c>
      <c r="G19">
        <f t="shared" si="1"/>
        <v>47.65</v>
      </c>
      <c r="M19">
        <f t="shared" si="2"/>
        <v>0.72669320278781779</v>
      </c>
    </row>
    <row r="20" spans="1:13" x14ac:dyDescent="0.25">
      <c r="A20">
        <v>235.17</v>
      </c>
      <c r="B20">
        <v>2.02</v>
      </c>
      <c r="C20">
        <v>0</v>
      </c>
      <c r="D20">
        <v>0</v>
      </c>
      <c r="F20" t="b">
        <f t="shared" si="0"/>
        <v>0</v>
      </c>
      <c r="G20">
        <f t="shared" si="1"/>
        <v>0</v>
      </c>
      <c r="M20">
        <f t="shared" si="2"/>
        <v>0</v>
      </c>
    </row>
    <row r="21" spans="1:13" x14ac:dyDescent="0.25">
      <c r="A21">
        <v>259.16000000000003</v>
      </c>
      <c r="B21">
        <v>29.14</v>
      </c>
      <c r="C21">
        <v>8</v>
      </c>
      <c r="D21">
        <v>167.05</v>
      </c>
      <c r="F21" t="b">
        <f t="shared" si="0"/>
        <v>1</v>
      </c>
      <c r="G21">
        <f t="shared" si="1"/>
        <v>200.64344543582706</v>
      </c>
      <c r="M21">
        <f t="shared" si="2"/>
        <v>3.0599418254384876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2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472.69</v>
      </c>
      <c r="B2">
        <v>12.16</v>
      </c>
      <c r="C2">
        <v>2</v>
      </c>
      <c r="D2">
        <v>47.46</v>
      </c>
      <c r="F2" t="b">
        <f t="shared" ref="F2:F21" si="0">(D2&gt;165)</f>
        <v>0</v>
      </c>
      <c r="G2">
        <f t="shared" ref="G2:G21" si="1">IF(F2,D2+((D2/B2)*(35-B2)),D2)</f>
        <v>47.46</v>
      </c>
      <c r="M2">
        <f t="shared" ref="M2:M21" si="2">G2/65.571</f>
        <v>0.72379558036327041</v>
      </c>
    </row>
    <row r="3" spans="1:13" x14ac:dyDescent="0.25">
      <c r="A3">
        <v>555.35</v>
      </c>
      <c r="B3">
        <v>20.98</v>
      </c>
      <c r="C3">
        <v>4</v>
      </c>
      <c r="D3">
        <v>130.72999999999999</v>
      </c>
      <c r="F3" t="b">
        <f t="shared" si="0"/>
        <v>0</v>
      </c>
      <c r="G3">
        <f t="shared" si="1"/>
        <v>130.72999999999999</v>
      </c>
      <c r="M3">
        <f t="shared" si="2"/>
        <v>1.9937167345320339</v>
      </c>
    </row>
    <row r="4" spans="1:13" x14ac:dyDescent="0.25">
      <c r="A4">
        <v>443.5</v>
      </c>
      <c r="B4">
        <v>7.4</v>
      </c>
      <c r="C4">
        <v>1</v>
      </c>
      <c r="D4">
        <v>18.600000000000001</v>
      </c>
      <c r="F4" t="b">
        <f t="shared" si="0"/>
        <v>0</v>
      </c>
      <c r="G4">
        <f t="shared" si="1"/>
        <v>18.600000000000001</v>
      </c>
      <c r="M4">
        <f t="shared" si="2"/>
        <v>0.2836619847188544</v>
      </c>
    </row>
    <row r="5" spans="1:13" x14ac:dyDescent="0.25">
      <c r="A5">
        <v>480.92</v>
      </c>
      <c r="B5">
        <v>3.96</v>
      </c>
      <c r="C5">
        <v>0</v>
      </c>
      <c r="D5">
        <v>0</v>
      </c>
      <c r="F5" t="b">
        <f t="shared" si="0"/>
        <v>0</v>
      </c>
      <c r="G5">
        <f t="shared" si="1"/>
        <v>0</v>
      </c>
      <c r="M5">
        <f t="shared" si="2"/>
        <v>0</v>
      </c>
    </row>
    <row r="6" spans="1:13" x14ac:dyDescent="0.25">
      <c r="A6">
        <v>486.33</v>
      </c>
      <c r="B6">
        <v>11.86</v>
      </c>
      <c r="C6">
        <v>2</v>
      </c>
      <c r="D6">
        <v>47.53</v>
      </c>
      <c r="F6" t="b">
        <f t="shared" si="0"/>
        <v>0</v>
      </c>
      <c r="G6">
        <f t="shared" si="1"/>
        <v>47.53</v>
      </c>
      <c r="M6">
        <f t="shared" si="2"/>
        <v>0.72486312546705101</v>
      </c>
    </row>
    <row r="7" spans="1:13" x14ac:dyDescent="0.25">
      <c r="A7">
        <v>399.41</v>
      </c>
      <c r="B7">
        <v>11.76</v>
      </c>
      <c r="C7">
        <v>2</v>
      </c>
      <c r="D7">
        <v>48.02</v>
      </c>
      <c r="F7" t="b">
        <f t="shared" si="0"/>
        <v>0</v>
      </c>
      <c r="G7">
        <f t="shared" si="1"/>
        <v>48.02</v>
      </c>
      <c r="M7">
        <f t="shared" si="2"/>
        <v>0.73233594119351553</v>
      </c>
    </row>
    <row r="8" spans="1:13" x14ac:dyDescent="0.25">
      <c r="A8">
        <v>503.91</v>
      </c>
      <c r="B8">
        <v>3.94</v>
      </c>
      <c r="C8">
        <v>0</v>
      </c>
      <c r="D8">
        <v>0</v>
      </c>
      <c r="F8" t="b">
        <f t="shared" si="0"/>
        <v>0</v>
      </c>
      <c r="G8">
        <f t="shared" si="1"/>
        <v>0</v>
      </c>
      <c r="M8">
        <f t="shared" si="2"/>
        <v>0</v>
      </c>
    </row>
    <row r="9" spans="1:13" x14ac:dyDescent="0.25">
      <c r="A9">
        <v>461.14</v>
      </c>
      <c r="B9">
        <v>3.94</v>
      </c>
      <c r="C9">
        <v>0</v>
      </c>
      <c r="D9">
        <v>0</v>
      </c>
      <c r="F9" t="b">
        <f t="shared" si="0"/>
        <v>0</v>
      </c>
      <c r="G9">
        <f t="shared" si="1"/>
        <v>0</v>
      </c>
      <c r="M9">
        <f t="shared" si="2"/>
        <v>0</v>
      </c>
    </row>
    <row r="10" spans="1:13" x14ac:dyDescent="0.25">
      <c r="A10">
        <v>509.8</v>
      </c>
      <c r="B10">
        <v>20.5</v>
      </c>
      <c r="C10">
        <v>4</v>
      </c>
      <c r="D10">
        <v>130.43</v>
      </c>
      <c r="F10" t="b">
        <f t="shared" si="0"/>
        <v>0</v>
      </c>
      <c r="G10">
        <f t="shared" si="1"/>
        <v>130.43</v>
      </c>
      <c r="M10">
        <f t="shared" si="2"/>
        <v>1.9891415412301172</v>
      </c>
    </row>
    <row r="11" spans="1:13" x14ac:dyDescent="0.25">
      <c r="A11">
        <v>435.41</v>
      </c>
      <c r="B11">
        <v>7.54</v>
      </c>
      <c r="C11">
        <v>1</v>
      </c>
      <c r="D11">
        <v>18.600000000000001</v>
      </c>
      <c r="F11" t="b">
        <f t="shared" si="0"/>
        <v>0</v>
      </c>
      <c r="G11">
        <f t="shared" si="1"/>
        <v>18.600000000000001</v>
      </c>
      <c r="M11">
        <f t="shared" si="2"/>
        <v>0.2836619847188544</v>
      </c>
    </row>
    <row r="12" spans="1:13" x14ac:dyDescent="0.25">
      <c r="A12">
        <v>483.44</v>
      </c>
      <c r="B12">
        <v>11.36</v>
      </c>
      <c r="C12">
        <v>2</v>
      </c>
      <c r="D12">
        <v>47.35</v>
      </c>
      <c r="F12" t="b">
        <f t="shared" si="0"/>
        <v>0</v>
      </c>
      <c r="G12">
        <f t="shared" si="1"/>
        <v>47.35</v>
      </c>
      <c r="M12">
        <f t="shared" si="2"/>
        <v>0.72211800948590077</v>
      </c>
    </row>
    <row r="13" spans="1:13" x14ac:dyDescent="0.25">
      <c r="A13">
        <v>492.77</v>
      </c>
      <c r="B13">
        <v>11.42</v>
      </c>
      <c r="C13">
        <v>2</v>
      </c>
      <c r="D13">
        <v>47.59</v>
      </c>
      <c r="F13" t="b">
        <f t="shared" si="0"/>
        <v>0</v>
      </c>
      <c r="G13">
        <f t="shared" si="1"/>
        <v>47.59</v>
      </c>
      <c r="M13">
        <f t="shared" si="2"/>
        <v>0.72577816412743446</v>
      </c>
    </row>
    <row r="14" spans="1:13" x14ac:dyDescent="0.25">
      <c r="A14">
        <v>427.58</v>
      </c>
      <c r="B14">
        <v>27.26</v>
      </c>
      <c r="C14">
        <v>7</v>
      </c>
      <c r="D14">
        <v>167.06</v>
      </c>
      <c r="F14" t="b">
        <f t="shared" si="0"/>
        <v>1</v>
      </c>
      <c r="G14">
        <f t="shared" si="1"/>
        <v>214.49376375641964</v>
      </c>
      <c r="M14">
        <f t="shared" si="2"/>
        <v>3.2711681041377996</v>
      </c>
    </row>
    <row r="15" spans="1:13" x14ac:dyDescent="0.25">
      <c r="A15">
        <v>439.28</v>
      </c>
      <c r="B15">
        <v>3.94</v>
      </c>
      <c r="C15">
        <v>0</v>
      </c>
      <c r="D15">
        <v>0</v>
      </c>
      <c r="F15" t="b">
        <f t="shared" si="0"/>
        <v>0</v>
      </c>
      <c r="G15">
        <f t="shared" si="1"/>
        <v>0</v>
      </c>
      <c r="M15">
        <f t="shared" si="2"/>
        <v>0</v>
      </c>
    </row>
    <row r="16" spans="1:13" x14ac:dyDescent="0.25">
      <c r="A16">
        <v>442.31</v>
      </c>
      <c r="B16">
        <v>7.4</v>
      </c>
      <c r="C16">
        <v>1</v>
      </c>
      <c r="D16">
        <v>18.600000000000001</v>
      </c>
      <c r="F16" t="b">
        <f t="shared" si="0"/>
        <v>0</v>
      </c>
      <c r="G16">
        <f t="shared" si="1"/>
        <v>18.600000000000001</v>
      </c>
      <c r="M16">
        <f t="shared" si="2"/>
        <v>0.2836619847188544</v>
      </c>
    </row>
    <row r="17" spans="1:13" x14ac:dyDescent="0.25">
      <c r="A17">
        <v>488.45</v>
      </c>
      <c r="B17">
        <v>25.48</v>
      </c>
      <c r="C17">
        <v>5</v>
      </c>
      <c r="D17">
        <v>167.05</v>
      </c>
      <c r="F17" t="b">
        <f t="shared" si="0"/>
        <v>1</v>
      </c>
      <c r="G17">
        <f t="shared" si="1"/>
        <v>229.46428571428572</v>
      </c>
      <c r="M17">
        <f t="shared" si="2"/>
        <v>3.4994782100972341</v>
      </c>
    </row>
    <row r="18" spans="1:13" x14ac:dyDescent="0.25">
      <c r="A18">
        <v>418.38</v>
      </c>
      <c r="B18">
        <v>24.18</v>
      </c>
      <c r="C18">
        <v>6</v>
      </c>
      <c r="D18">
        <v>166.86</v>
      </c>
      <c r="F18" t="b">
        <f t="shared" si="0"/>
        <v>1</v>
      </c>
      <c r="G18">
        <f t="shared" si="1"/>
        <v>241.52605459057074</v>
      </c>
      <c r="M18">
        <f t="shared" si="2"/>
        <v>3.6834279573374014</v>
      </c>
    </row>
    <row r="19" spans="1:13" x14ac:dyDescent="0.25">
      <c r="A19">
        <v>379.84</v>
      </c>
      <c r="B19">
        <v>3.94</v>
      </c>
      <c r="C19">
        <v>0</v>
      </c>
      <c r="D19">
        <v>0</v>
      </c>
      <c r="F19" t="b">
        <f t="shared" si="0"/>
        <v>0</v>
      </c>
      <c r="G19">
        <f t="shared" si="1"/>
        <v>0</v>
      </c>
      <c r="M19">
        <f t="shared" si="2"/>
        <v>0</v>
      </c>
    </row>
    <row r="20" spans="1:13" x14ac:dyDescent="0.25">
      <c r="A20">
        <v>478.31</v>
      </c>
      <c r="B20">
        <v>12.06</v>
      </c>
      <c r="C20">
        <v>2</v>
      </c>
      <c r="D20">
        <v>47.57</v>
      </c>
      <c r="F20" t="b">
        <f t="shared" si="0"/>
        <v>0</v>
      </c>
      <c r="G20">
        <f t="shared" si="1"/>
        <v>47.57</v>
      </c>
      <c r="M20">
        <f t="shared" si="2"/>
        <v>0.72547315124063994</v>
      </c>
    </row>
    <row r="21" spans="1:13" x14ac:dyDescent="0.25">
      <c r="A21">
        <v>496.85</v>
      </c>
      <c r="B21">
        <v>12</v>
      </c>
      <c r="C21">
        <v>2</v>
      </c>
      <c r="D21">
        <v>49.78</v>
      </c>
      <c r="F21" t="b">
        <f t="shared" si="0"/>
        <v>0</v>
      </c>
      <c r="G21">
        <f t="shared" si="1"/>
        <v>49.78</v>
      </c>
      <c r="M21">
        <f t="shared" si="2"/>
        <v>0.75917707523142852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8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I1" t="s">
        <v>24</v>
      </c>
    </row>
    <row r="2" spans="1:13" x14ac:dyDescent="0.25">
      <c r="A2">
        <v>30.86</v>
      </c>
      <c r="B2">
        <v>3.98</v>
      </c>
      <c r="C2">
        <v>0</v>
      </c>
      <c r="D2">
        <v>0.52</v>
      </c>
      <c r="F2" t="b">
        <f t="shared" ref="F2:F21" si="0">(D2&gt;165)</f>
        <v>0</v>
      </c>
      <c r="G2">
        <f t="shared" ref="G2:G21" si="1">IF(F2,D2+((D2/B2)*(35-B2)),D2)</f>
        <v>0.52</v>
      </c>
      <c r="I2">
        <f>_xlfn.T.TEST(G2:G21,control!G2:G21,1,3)</f>
        <v>8.0050981992912907E-4</v>
      </c>
      <c r="M2">
        <f t="shared" ref="M2:M21" si="2">G2/65.571</f>
        <v>7.9303350566561435E-3</v>
      </c>
    </row>
    <row r="3" spans="1:13" x14ac:dyDescent="0.25">
      <c r="A3">
        <v>17.260000000000002</v>
      </c>
      <c r="B3">
        <v>3.16</v>
      </c>
      <c r="C3">
        <v>0</v>
      </c>
      <c r="D3">
        <v>0.71</v>
      </c>
      <c r="F3" t="b">
        <f t="shared" si="0"/>
        <v>0</v>
      </c>
      <c r="G3">
        <f t="shared" si="1"/>
        <v>0.71</v>
      </c>
      <c r="M3">
        <f t="shared" si="2"/>
        <v>1.0827957481203581E-2</v>
      </c>
    </row>
    <row r="4" spans="1:13" x14ac:dyDescent="0.25">
      <c r="A4">
        <v>13.58</v>
      </c>
      <c r="B4">
        <v>2.04</v>
      </c>
      <c r="C4">
        <v>0</v>
      </c>
      <c r="D4">
        <v>0.15</v>
      </c>
      <c r="F4" t="b">
        <f t="shared" si="0"/>
        <v>0</v>
      </c>
      <c r="G4">
        <f t="shared" si="1"/>
        <v>0.15</v>
      </c>
      <c r="M4">
        <f t="shared" si="2"/>
        <v>2.2875966509585031E-3</v>
      </c>
    </row>
    <row r="5" spans="1:13" x14ac:dyDescent="0.25">
      <c r="A5">
        <v>13.46</v>
      </c>
      <c r="B5">
        <v>3.86</v>
      </c>
      <c r="C5">
        <v>0</v>
      </c>
      <c r="D5">
        <v>0.87</v>
      </c>
      <c r="F5" t="b">
        <f t="shared" si="0"/>
        <v>0</v>
      </c>
      <c r="G5">
        <f t="shared" si="1"/>
        <v>0.87</v>
      </c>
      <c r="M5">
        <f t="shared" si="2"/>
        <v>1.3268060575559317E-2</v>
      </c>
    </row>
    <row r="6" spans="1:13" x14ac:dyDescent="0.25">
      <c r="A6">
        <v>13.43</v>
      </c>
      <c r="B6">
        <v>2.64</v>
      </c>
      <c r="C6">
        <v>0</v>
      </c>
      <c r="D6">
        <v>0.6</v>
      </c>
      <c r="F6" t="b">
        <f t="shared" si="0"/>
        <v>0</v>
      </c>
      <c r="G6">
        <f t="shared" si="1"/>
        <v>0.6</v>
      </c>
      <c r="M6">
        <f t="shared" si="2"/>
        <v>9.1503866038340122E-3</v>
      </c>
    </row>
    <row r="7" spans="1:13" x14ac:dyDescent="0.25">
      <c r="A7">
        <v>15.79</v>
      </c>
      <c r="B7">
        <v>2.46</v>
      </c>
      <c r="C7">
        <v>0</v>
      </c>
      <c r="D7">
        <v>0.42</v>
      </c>
      <c r="F7" t="b">
        <f t="shared" si="0"/>
        <v>0</v>
      </c>
      <c r="G7">
        <f t="shared" si="1"/>
        <v>0.42</v>
      </c>
      <c r="M7">
        <f t="shared" si="2"/>
        <v>6.4052706226838084E-3</v>
      </c>
    </row>
    <row r="8" spans="1:13" x14ac:dyDescent="0.25">
      <c r="A8">
        <v>5.89</v>
      </c>
      <c r="B8">
        <v>2.2999999999999998</v>
      </c>
      <c r="C8">
        <v>0</v>
      </c>
      <c r="D8">
        <v>0.27</v>
      </c>
      <c r="F8" t="b">
        <f t="shared" si="0"/>
        <v>0</v>
      </c>
      <c r="G8">
        <f t="shared" si="1"/>
        <v>0.27</v>
      </c>
      <c r="M8">
        <f t="shared" si="2"/>
        <v>4.1176739717253058E-3</v>
      </c>
    </row>
    <row r="9" spans="1:13" x14ac:dyDescent="0.25">
      <c r="A9">
        <v>13.45</v>
      </c>
      <c r="B9">
        <v>6.5</v>
      </c>
      <c r="C9">
        <v>0</v>
      </c>
      <c r="D9">
        <v>3.34</v>
      </c>
      <c r="F9" t="b">
        <f t="shared" si="0"/>
        <v>0</v>
      </c>
      <c r="G9">
        <f t="shared" si="1"/>
        <v>3.34</v>
      </c>
      <c r="M9">
        <f t="shared" si="2"/>
        <v>5.0937152094676003E-2</v>
      </c>
    </row>
    <row r="10" spans="1:13" x14ac:dyDescent="0.25">
      <c r="A10">
        <v>5.65</v>
      </c>
      <c r="B10">
        <v>6.56</v>
      </c>
      <c r="C10">
        <v>0</v>
      </c>
      <c r="D10">
        <v>1.98</v>
      </c>
      <c r="F10" t="b">
        <f t="shared" si="0"/>
        <v>0</v>
      </c>
      <c r="G10">
        <f t="shared" si="1"/>
        <v>1.98</v>
      </c>
      <c r="M10">
        <f t="shared" si="2"/>
        <v>3.0196275792652241E-2</v>
      </c>
    </row>
    <row r="11" spans="1:13" x14ac:dyDescent="0.25">
      <c r="A11">
        <v>5.83</v>
      </c>
      <c r="B11">
        <v>2.94</v>
      </c>
      <c r="C11">
        <v>0</v>
      </c>
      <c r="D11">
        <v>0.96</v>
      </c>
      <c r="F11" t="b">
        <f t="shared" si="0"/>
        <v>0</v>
      </c>
      <c r="G11">
        <f t="shared" si="1"/>
        <v>0.96</v>
      </c>
      <c r="M11">
        <f t="shared" si="2"/>
        <v>1.464061856613442E-2</v>
      </c>
    </row>
    <row r="12" spans="1:13" x14ac:dyDescent="0.25">
      <c r="A12">
        <v>13.44</v>
      </c>
      <c r="B12">
        <v>2.34</v>
      </c>
      <c r="C12">
        <v>0</v>
      </c>
      <c r="D12">
        <v>0.28999999999999998</v>
      </c>
      <c r="F12" t="b">
        <f t="shared" si="0"/>
        <v>0</v>
      </c>
      <c r="G12">
        <f t="shared" si="1"/>
        <v>0.28999999999999998</v>
      </c>
      <c r="M12">
        <f t="shared" si="2"/>
        <v>4.4226868585197721E-3</v>
      </c>
    </row>
    <row r="13" spans="1:13" x14ac:dyDescent="0.25">
      <c r="A13">
        <v>15.64</v>
      </c>
      <c r="B13">
        <v>2.04</v>
      </c>
      <c r="C13">
        <v>0</v>
      </c>
      <c r="D13">
        <v>0.09</v>
      </c>
      <c r="F13" t="b">
        <f t="shared" si="0"/>
        <v>0</v>
      </c>
      <c r="G13">
        <f t="shared" si="1"/>
        <v>0.09</v>
      </c>
      <c r="M13">
        <f t="shared" si="2"/>
        <v>1.3725579905751017E-3</v>
      </c>
    </row>
    <row r="14" spans="1:13" x14ac:dyDescent="0.25">
      <c r="A14">
        <v>13.44</v>
      </c>
      <c r="B14">
        <v>10.62</v>
      </c>
      <c r="C14">
        <v>0</v>
      </c>
      <c r="D14">
        <v>4</v>
      </c>
      <c r="F14" t="b">
        <f t="shared" si="0"/>
        <v>0</v>
      </c>
      <c r="G14">
        <f t="shared" si="1"/>
        <v>4</v>
      </c>
      <c r="M14">
        <f t="shared" si="2"/>
        <v>6.1002577358893417E-2</v>
      </c>
    </row>
    <row r="15" spans="1:13" x14ac:dyDescent="0.25">
      <c r="A15">
        <v>18.55</v>
      </c>
      <c r="B15">
        <v>2.04</v>
      </c>
      <c r="C15">
        <v>0</v>
      </c>
      <c r="D15">
        <v>0.3</v>
      </c>
      <c r="F15" t="b">
        <f t="shared" si="0"/>
        <v>0</v>
      </c>
      <c r="G15">
        <f t="shared" si="1"/>
        <v>0.3</v>
      </c>
      <c r="M15">
        <f t="shared" si="2"/>
        <v>4.5751933019170061E-3</v>
      </c>
    </row>
    <row r="16" spans="1:13" x14ac:dyDescent="0.25">
      <c r="A16">
        <v>13.5</v>
      </c>
      <c r="B16">
        <v>8.5399999999999991</v>
      </c>
      <c r="C16">
        <v>0</v>
      </c>
      <c r="D16">
        <v>3.54</v>
      </c>
      <c r="F16" t="b">
        <f t="shared" si="0"/>
        <v>0</v>
      </c>
      <c r="G16">
        <f t="shared" si="1"/>
        <v>3.54</v>
      </c>
      <c r="M16">
        <f t="shared" si="2"/>
        <v>5.3987280962620676E-2</v>
      </c>
    </row>
    <row r="17" spans="1:13" x14ac:dyDescent="0.25">
      <c r="A17">
        <v>13.42</v>
      </c>
      <c r="B17">
        <v>2.04</v>
      </c>
      <c r="C17">
        <v>0</v>
      </c>
      <c r="D17">
        <v>0.1</v>
      </c>
      <c r="F17" t="b">
        <f t="shared" si="0"/>
        <v>0</v>
      </c>
      <c r="G17">
        <f t="shared" si="1"/>
        <v>0.1</v>
      </c>
      <c r="M17">
        <f t="shared" si="2"/>
        <v>1.5250644339723355E-3</v>
      </c>
    </row>
    <row r="18" spans="1:13" x14ac:dyDescent="0.25">
      <c r="A18">
        <v>49.8</v>
      </c>
      <c r="B18">
        <v>10.52</v>
      </c>
      <c r="C18">
        <v>0</v>
      </c>
      <c r="D18">
        <v>8.89</v>
      </c>
      <c r="F18" t="b">
        <f t="shared" si="0"/>
        <v>0</v>
      </c>
      <c r="G18">
        <f t="shared" si="1"/>
        <v>8.89</v>
      </c>
      <c r="M18">
        <f t="shared" si="2"/>
        <v>0.13557822818014062</v>
      </c>
    </row>
    <row r="19" spans="1:13" x14ac:dyDescent="0.25">
      <c r="A19">
        <v>4.93</v>
      </c>
      <c r="B19">
        <v>2.04</v>
      </c>
      <c r="C19">
        <v>0</v>
      </c>
      <c r="D19">
        <v>0.26</v>
      </c>
      <c r="F19" t="b">
        <f t="shared" si="0"/>
        <v>0</v>
      </c>
      <c r="G19">
        <f t="shared" si="1"/>
        <v>0.26</v>
      </c>
      <c r="M19">
        <f t="shared" si="2"/>
        <v>3.9651675283280717E-3</v>
      </c>
    </row>
    <row r="20" spans="1:13" x14ac:dyDescent="0.25">
      <c r="A20">
        <v>27.82</v>
      </c>
      <c r="B20">
        <v>2.04</v>
      </c>
      <c r="C20">
        <v>0</v>
      </c>
      <c r="D20">
        <v>0.34</v>
      </c>
      <c r="F20" t="b">
        <f t="shared" si="0"/>
        <v>0</v>
      </c>
      <c r="G20">
        <f t="shared" si="1"/>
        <v>0.34</v>
      </c>
      <c r="M20">
        <f t="shared" si="2"/>
        <v>5.1852190755059405E-3</v>
      </c>
    </row>
    <row r="21" spans="1:13" x14ac:dyDescent="0.25">
      <c r="A21">
        <v>13.43</v>
      </c>
      <c r="B21">
        <v>2.04</v>
      </c>
      <c r="C21">
        <v>0</v>
      </c>
      <c r="D21">
        <v>0.16</v>
      </c>
      <c r="F21" t="b">
        <f t="shared" si="0"/>
        <v>0</v>
      </c>
      <c r="G21">
        <f t="shared" si="1"/>
        <v>0.16</v>
      </c>
      <c r="M21">
        <f t="shared" si="2"/>
        <v>2.4401030943557367E-3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23</vt:i4>
      </vt:variant>
    </vt:vector>
  </HeadingPairs>
  <TitlesOfParts>
    <vt:vector size="23" baseType="lpstr">
      <vt:lpstr>Table</vt:lpstr>
      <vt:lpstr>T-Tests</vt:lpstr>
      <vt:lpstr>control</vt:lpstr>
      <vt:lpstr>low-iteration</vt:lpstr>
      <vt:lpstr>prio-sweep</vt:lpstr>
      <vt:lpstr>human-assistance</vt:lpstr>
      <vt:lpstr>human-assistance-low-iteration</vt:lpstr>
      <vt:lpstr>early-termination</vt:lpstr>
      <vt:lpstr>hierachical-learning</vt:lpstr>
      <vt:lpstr>filter-count-3</vt:lpstr>
      <vt:lpstr>spatial-linear-state</vt:lpstr>
      <vt:lpstr>spatial-state</vt:lpstr>
      <vt:lpstr>linear-state</vt:lpstr>
      <vt:lpstr>linear-binned-state</vt:lpstr>
      <vt:lpstr>very-high-iteration</vt:lpstr>
      <vt:lpstr>very-high-iteration-full-batch</vt:lpstr>
      <vt:lpstr>high-iteration</vt:lpstr>
      <vt:lpstr>small-batchsize</vt:lpstr>
      <vt:lpstr>small-batchsize-small-poolsize</vt:lpstr>
      <vt:lpstr>large-poolsize</vt:lpstr>
      <vt:lpstr>large-batchsize-large-poolsize</vt:lpstr>
      <vt:lpstr>frame-stacking</vt:lpstr>
      <vt:lpstr>random-baseline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Nikolaj Falsted</dc:creator>
  <cp:lastModifiedBy>Nikolaj Falsted</cp:lastModifiedBy>
  <dcterms:created xsi:type="dcterms:W3CDTF">2015-08-06T07:29:50Z</dcterms:created>
  <dcterms:modified xsi:type="dcterms:W3CDTF">2015-08-26T11:52:16Z</dcterms:modified>
</cp:coreProperties>
</file>