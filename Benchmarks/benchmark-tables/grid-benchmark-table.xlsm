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codeName="Denne_projektmappe" defaultThemeVersion="124226"/>
  <bookViews>
    <workbookView xWindow="0" yWindow="48" windowWidth="22980" windowHeight="9552" tabRatio="1000" activeTab="1"/>
  </bookViews>
  <sheets>
    <sheet name="Table" sheetId="2" r:id="rId1"/>
    <sheet name="T-Tests" sheetId="27" r:id="rId2"/>
    <sheet name="control" sheetId="1" r:id="rId3"/>
    <sheet name="low-iteration" sheetId="14" r:id="rId4"/>
    <sheet name="prio-sweep" sheetId="19" r:id="rId5"/>
    <sheet name="low-iteration-prio-sweep" sheetId="15" r:id="rId6"/>
    <sheet name="human-ass" sheetId="6" r:id="rId7"/>
    <sheet name="human-ass-low-iteration" sheetId="11" r:id="rId8"/>
    <sheet name="grid-state" sheetId="3" r:id="rId9"/>
    <sheet name="large-grid-state" sheetId="13" r:id="rId10"/>
    <sheet name="small-grid-state" sheetId="9" r:id="rId11"/>
    <sheet name="small-grid-vector-state" sheetId="23" r:id="rId12"/>
    <sheet name="grid-vector-binned-state" sheetId="4" r:id="rId13"/>
    <sheet name="vector-state" sheetId="7" r:id="rId14"/>
    <sheet name="vector-binned-state" sheetId="8" r:id="rId15"/>
    <sheet name="predefined-seeker" sheetId="17" r:id="rId16"/>
    <sheet name="predefined-seeker-random-goal" sheetId="18" r:id="rId17"/>
    <sheet name="random-seeker-random-goal" sheetId="12" r:id="rId18"/>
    <sheet name="high-iteration" sheetId="5" r:id="rId19"/>
    <sheet name="very-high-iteration" sheetId="21" r:id="rId20"/>
    <sheet name="very-high-iteration-full-batch" sheetId="24" r:id="rId21"/>
    <sheet name="small-batchsize" sheetId="20" r:id="rId22"/>
    <sheet name="small-batchsize-small-poolsize" sheetId="10" r:id="rId23"/>
    <sheet name="large-poolsize" sheetId="25" r:id="rId24"/>
    <sheet name="large-batchsize-large-poolsize" sheetId="26" r:id="rId25"/>
    <sheet name="low-stride" sheetId="16" r:id="rId26"/>
    <sheet name="random-baseline" sheetId="22" r:id="rId27"/>
  </sheets>
  <calcPr calcId="145621"/>
</workbook>
</file>

<file path=xl/calcChain.xml><?xml version="1.0" encoding="utf-8"?>
<calcChain xmlns="http://schemas.openxmlformats.org/spreadsheetml/2006/main">
  <c r="Z2" i="27" l="1"/>
  <c r="Y3" i="27"/>
  <c r="Y2" i="27"/>
  <c r="X4" i="27"/>
  <c r="X3" i="27"/>
  <c r="X2" i="27"/>
  <c r="W5" i="27"/>
  <c r="W4" i="27"/>
  <c r="W3" i="27"/>
  <c r="W2" i="27"/>
  <c r="V6" i="27"/>
  <c r="V5" i="27"/>
  <c r="V4" i="27"/>
  <c r="V3" i="27"/>
  <c r="V2" i="27"/>
  <c r="U7" i="27"/>
  <c r="U6" i="27"/>
  <c r="U5" i="27"/>
  <c r="U4" i="27"/>
  <c r="U3" i="27"/>
  <c r="U2" i="27"/>
  <c r="T8" i="27"/>
  <c r="T7" i="27"/>
  <c r="T6" i="27"/>
  <c r="T5" i="27"/>
  <c r="T4" i="27"/>
  <c r="T3" i="27"/>
  <c r="T2" i="27"/>
  <c r="S9" i="27"/>
  <c r="S8" i="27"/>
  <c r="S7" i="27"/>
  <c r="S6" i="27"/>
  <c r="S5" i="27"/>
  <c r="S4" i="27"/>
  <c r="S3" i="27"/>
  <c r="S2" i="27"/>
  <c r="R10" i="27"/>
  <c r="R9" i="27"/>
  <c r="R8" i="27"/>
  <c r="R7" i="27"/>
  <c r="R6" i="27"/>
  <c r="R5" i="27"/>
  <c r="R4" i="27"/>
  <c r="R3" i="27"/>
  <c r="R2" i="27"/>
  <c r="Q11" i="27"/>
  <c r="Q10" i="27"/>
  <c r="Q9" i="27"/>
  <c r="Q8" i="27"/>
  <c r="Q7" i="27"/>
  <c r="Q6" i="27"/>
  <c r="Q5" i="27"/>
  <c r="Q4" i="27"/>
  <c r="Q3" i="27"/>
  <c r="Q2" i="27"/>
  <c r="P12" i="27"/>
  <c r="P11" i="27"/>
  <c r="P10" i="27"/>
  <c r="P9" i="27"/>
  <c r="P8" i="27"/>
  <c r="P7" i="27"/>
  <c r="P6" i="27"/>
  <c r="P5" i="27"/>
  <c r="P4" i="27"/>
  <c r="P3" i="27"/>
  <c r="P2" i="27"/>
  <c r="O13" i="27"/>
  <c r="O12" i="27"/>
  <c r="O11" i="27"/>
  <c r="O10" i="27"/>
  <c r="O9" i="27"/>
  <c r="O8" i="27"/>
  <c r="O7" i="27"/>
  <c r="O6" i="27"/>
  <c r="O5" i="27"/>
  <c r="O4" i="27"/>
  <c r="O3" i="27"/>
  <c r="O2" i="27"/>
  <c r="N14" i="27"/>
  <c r="N13" i="27"/>
  <c r="N12" i="27"/>
  <c r="N11" i="27"/>
  <c r="N10" i="27"/>
  <c r="N9" i="27"/>
  <c r="N8" i="27"/>
  <c r="N7" i="27"/>
  <c r="N6" i="27"/>
  <c r="N5" i="27"/>
  <c r="N4" i="27"/>
  <c r="N3" i="27"/>
  <c r="N2" i="27"/>
  <c r="M15" i="27"/>
  <c r="M14" i="27"/>
  <c r="M13" i="27"/>
  <c r="M12" i="27"/>
  <c r="M11" i="27"/>
  <c r="M10" i="27"/>
  <c r="M9" i="27"/>
  <c r="M8" i="27"/>
  <c r="M7" i="27"/>
  <c r="M6" i="27"/>
  <c r="M5" i="27"/>
  <c r="M4" i="27"/>
  <c r="M3" i="27"/>
  <c r="M2" i="27"/>
  <c r="L16" i="27"/>
  <c r="L15" i="27"/>
  <c r="L14" i="27"/>
  <c r="L13" i="27"/>
  <c r="L12" i="27"/>
  <c r="L11" i="27"/>
  <c r="L10" i="27"/>
  <c r="L9" i="27"/>
  <c r="L8" i="27"/>
  <c r="L7" i="27"/>
  <c r="L6" i="27"/>
  <c r="L5" i="27"/>
  <c r="L4" i="27"/>
  <c r="L3" i="27"/>
  <c r="L2" i="27"/>
  <c r="K17" i="27"/>
  <c r="K16" i="27"/>
  <c r="K15" i="27"/>
  <c r="K14" i="27"/>
  <c r="K13" i="27"/>
  <c r="K12" i="27"/>
  <c r="K11" i="27"/>
  <c r="K10" i="27"/>
  <c r="K9" i="27"/>
  <c r="K8" i="27"/>
  <c r="K7" i="27"/>
  <c r="K6" i="27"/>
  <c r="K5" i="27"/>
  <c r="K4" i="27"/>
  <c r="K3" i="27"/>
  <c r="K2" i="27"/>
  <c r="J18" i="27"/>
  <c r="J17" i="27"/>
  <c r="J16" i="27"/>
  <c r="J15" i="27"/>
  <c r="J14" i="27"/>
  <c r="J13" i="27"/>
  <c r="J12" i="27"/>
  <c r="J11" i="27"/>
  <c r="J10" i="27"/>
  <c r="J9" i="27"/>
  <c r="J8" i="27"/>
  <c r="J7" i="27"/>
  <c r="J6" i="27"/>
  <c r="J5" i="27"/>
  <c r="J4" i="27"/>
  <c r="J3" i="27"/>
  <c r="J2" i="27"/>
  <c r="I19" i="27"/>
  <c r="I18" i="27"/>
  <c r="I17" i="27"/>
  <c r="I16" i="27"/>
  <c r="I15" i="27"/>
  <c r="I14" i="27"/>
  <c r="I13" i="27"/>
  <c r="I12" i="27"/>
  <c r="I11" i="27"/>
  <c r="I10" i="27"/>
  <c r="I9" i="27"/>
  <c r="I8" i="27"/>
  <c r="I7" i="27"/>
  <c r="I6" i="27"/>
  <c r="I5" i="27"/>
  <c r="I4" i="27"/>
  <c r="I3" i="27"/>
  <c r="I2" i="27"/>
  <c r="H20" i="27"/>
  <c r="H19" i="27"/>
  <c r="H18" i="27"/>
  <c r="H17" i="27"/>
  <c r="H16" i="27"/>
  <c r="H15" i="27"/>
  <c r="H14" i="27"/>
  <c r="H13" i="27"/>
  <c r="H12" i="27"/>
  <c r="H11" i="27"/>
  <c r="H10" i="27"/>
  <c r="H9" i="27"/>
  <c r="H8" i="27"/>
  <c r="H7" i="27"/>
  <c r="H6" i="27"/>
  <c r="H5" i="27"/>
  <c r="H4" i="27"/>
  <c r="H3" i="27"/>
  <c r="H2" i="27"/>
  <c r="G21" i="27"/>
  <c r="G20" i="27"/>
  <c r="G19" i="27"/>
  <c r="G18" i="27"/>
  <c r="G17" i="27"/>
  <c r="G16" i="27"/>
  <c r="G15" i="27"/>
  <c r="G14" i="27"/>
  <c r="G13" i="27"/>
  <c r="G12" i="27"/>
  <c r="G11" i="27"/>
  <c r="G10" i="27"/>
  <c r="G9" i="27"/>
  <c r="G8" i="27"/>
  <c r="G7" i="27"/>
  <c r="G6" i="27"/>
  <c r="G5" i="27"/>
  <c r="G4" i="27"/>
  <c r="G3" i="27"/>
  <c r="G2" i="27"/>
  <c r="F22" i="27"/>
  <c r="F21" i="27"/>
  <c r="F20" i="27"/>
  <c r="F19" i="27"/>
  <c r="F18" i="27"/>
  <c r="F17" i="27"/>
  <c r="F16" i="27"/>
  <c r="F15" i="27"/>
  <c r="F14" i="27"/>
  <c r="F13" i="27"/>
  <c r="F12" i="27"/>
  <c r="F11" i="27"/>
  <c r="F10" i="27"/>
  <c r="F9" i="27"/>
  <c r="F8" i="27"/>
  <c r="F7" i="27"/>
  <c r="F6" i="27"/>
  <c r="F5" i="27"/>
  <c r="F4" i="27"/>
  <c r="F3" i="27"/>
  <c r="F2" i="27"/>
  <c r="E23" i="27"/>
  <c r="E22" i="27"/>
  <c r="E21" i="27"/>
  <c r="E20" i="27"/>
  <c r="E19" i="27"/>
  <c r="E18" i="27"/>
  <c r="E17" i="27"/>
  <c r="E16" i="27"/>
  <c r="E15" i="27"/>
  <c r="E14" i="27"/>
  <c r="E13" i="27"/>
  <c r="E12" i="27"/>
  <c r="E11" i="27"/>
  <c r="E10" i="27"/>
  <c r="E9" i="27"/>
  <c r="E8" i="27"/>
  <c r="E7" i="27"/>
  <c r="E6" i="27"/>
  <c r="E5" i="27"/>
  <c r="E4" i="27"/>
  <c r="E3" i="27"/>
  <c r="E2" i="27"/>
  <c r="D24" i="27"/>
  <c r="D23" i="27"/>
  <c r="D22" i="27"/>
  <c r="D21" i="27"/>
  <c r="D20" i="27"/>
  <c r="D19" i="27"/>
  <c r="D18" i="27"/>
  <c r="D17" i="27"/>
  <c r="D16" i="27"/>
  <c r="D15" i="27"/>
  <c r="D14" i="27"/>
  <c r="D13" i="27"/>
  <c r="D12" i="27"/>
  <c r="D11" i="27"/>
  <c r="D10" i="27"/>
  <c r="D9" i="27"/>
  <c r="D8" i="27"/>
  <c r="D7" i="27"/>
  <c r="D6" i="27"/>
  <c r="D5" i="27"/>
  <c r="D4" i="27"/>
  <c r="D3" i="27"/>
  <c r="D2" i="27"/>
  <c r="C25" i="27"/>
  <c r="C24" i="27"/>
  <c r="C23" i="27"/>
  <c r="C22" i="27"/>
  <c r="C21" i="27"/>
  <c r="C20" i="27"/>
  <c r="C19" i="27"/>
  <c r="C18" i="27"/>
  <c r="C17" i="27"/>
  <c r="C16" i="27"/>
  <c r="C15" i="27"/>
  <c r="C14" i="27"/>
  <c r="C13" i="27"/>
  <c r="C12" i="27"/>
  <c r="C11" i="27"/>
  <c r="C10" i="27"/>
  <c r="C9" i="27"/>
  <c r="C8" i="27"/>
  <c r="C7" i="27"/>
  <c r="C6" i="27"/>
  <c r="C5" i="27"/>
  <c r="C4" i="27"/>
  <c r="C3" i="27"/>
  <c r="C2" i="27"/>
  <c r="B26" i="27"/>
  <c r="B25" i="27"/>
  <c r="B24" i="27"/>
  <c r="B23" i="27"/>
  <c r="B22" i="27"/>
  <c r="B21" i="27"/>
  <c r="B20" i="27"/>
  <c r="B19" i="27"/>
  <c r="B18" i="27"/>
  <c r="B17" i="27"/>
  <c r="B16" i="27"/>
  <c r="B15" i="27"/>
  <c r="B14" i="27"/>
  <c r="B13" i="27"/>
  <c r="B12" i="27"/>
  <c r="B11" i="27"/>
  <c r="B10" i="27"/>
  <c r="B9" i="27"/>
  <c r="B8" i="27"/>
  <c r="B7" i="27"/>
  <c r="B6" i="27"/>
  <c r="B5" i="27"/>
  <c r="B4" i="27"/>
  <c r="B3" i="27"/>
  <c r="B2" i="27"/>
  <c r="J26" i="2" l="1"/>
  <c r="J25" i="2"/>
  <c r="J24" i="2"/>
  <c r="J23" i="2"/>
  <c r="J22" i="2"/>
  <c r="J21" i="2"/>
  <c r="J20" i="2"/>
  <c r="J19" i="2"/>
  <c r="J18" i="2"/>
  <c r="J17" i="2"/>
  <c r="J16" i="2"/>
  <c r="J15" i="2"/>
  <c r="J14" i="2"/>
  <c r="J13" i="2"/>
  <c r="J12" i="2"/>
  <c r="J11" i="2"/>
  <c r="J10" i="2"/>
  <c r="J9" i="2"/>
  <c r="J8" i="2"/>
  <c r="J7" i="2"/>
  <c r="J6" i="2"/>
  <c r="J5" i="2"/>
  <c r="J4" i="2"/>
  <c r="J3" i="2"/>
  <c r="J2" i="2"/>
  <c r="Q26" i="2" l="1"/>
  <c r="Q25" i="2"/>
  <c r="Q24" i="2"/>
  <c r="Q23" i="2"/>
  <c r="Q22" i="2"/>
  <c r="Q21" i="2"/>
  <c r="Q20" i="2"/>
  <c r="Q19" i="2"/>
  <c r="Q18" i="2"/>
  <c r="Q17" i="2"/>
  <c r="Q16" i="2"/>
  <c r="Q15" i="2"/>
  <c r="Q14" i="2"/>
  <c r="Q13" i="2"/>
  <c r="Q12" i="2"/>
  <c r="Q11" i="2"/>
  <c r="Q10" i="2"/>
  <c r="Q9" i="2"/>
  <c r="Q8" i="2"/>
  <c r="Q7" i="2"/>
  <c r="Q6" i="2"/>
  <c r="Q5" i="2"/>
  <c r="Q4" i="2"/>
  <c r="Q3" i="2"/>
  <c r="Q2" i="2"/>
  <c r="N26" i="2" l="1"/>
  <c r="N25" i="2"/>
  <c r="N24" i="2"/>
  <c r="N23" i="2"/>
  <c r="N22" i="2"/>
  <c r="N21" i="2"/>
  <c r="N20" i="2"/>
  <c r="N19" i="2"/>
  <c r="N18" i="2"/>
  <c r="N17" i="2"/>
  <c r="N16" i="2"/>
  <c r="N15" i="2"/>
  <c r="N14" i="2"/>
  <c r="N13" i="2"/>
  <c r="N12" i="2"/>
  <c r="N11" i="2"/>
  <c r="N10" i="2"/>
  <c r="N9" i="2"/>
  <c r="N8" i="2"/>
  <c r="N7" i="2"/>
  <c r="N6" i="2"/>
  <c r="N5" i="2"/>
  <c r="N4" i="2"/>
  <c r="N3" i="2"/>
  <c r="N2" i="2"/>
  <c r="M26" i="2"/>
  <c r="M25" i="2"/>
  <c r="M24" i="2"/>
  <c r="M23" i="2"/>
  <c r="M22" i="2"/>
  <c r="M21" i="2"/>
  <c r="M20" i="2"/>
  <c r="M19" i="2"/>
  <c r="M18" i="2"/>
  <c r="M17" i="2"/>
  <c r="M16" i="2"/>
  <c r="M15" i="2"/>
  <c r="M14" i="2"/>
  <c r="M13" i="2"/>
  <c r="M12" i="2"/>
  <c r="M11" i="2"/>
  <c r="M10" i="2"/>
  <c r="M9" i="2"/>
  <c r="M8" i="2"/>
  <c r="M7" i="2"/>
  <c r="M6" i="2"/>
  <c r="M5" i="2"/>
  <c r="M4" i="2"/>
  <c r="M3" i="2"/>
  <c r="M2" i="2"/>
  <c r="M21" i="22"/>
  <c r="M20" i="22"/>
  <c r="M19" i="22"/>
  <c r="M18" i="22"/>
  <c r="M17" i="22"/>
  <c r="M16" i="22"/>
  <c r="M15" i="22"/>
  <c r="M14" i="22"/>
  <c r="M13" i="22"/>
  <c r="M12" i="22"/>
  <c r="M11" i="22"/>
  <c r="M10" i="22"/>
  <c r="M9" i="22"/>
  <c r="M8" i="22"/>
  <c r="M7" i="22"/>
  <c r="M6" i="22"/>
  <c r="M5" i="22"/>
  <c r="M4" i="22"/>
  <c r="M3" i="22"/>
  <c r="M2" i="22"/>
  <c r="M21" i="16"/>
  <c r="M20" i="16"/>
  <c r="M19" i="16"/>
  <c r="M18" i="16"/>
  <c r="M17" i="16"/>
  <c r="M16" i="16"/>
  <c r="M15" i="16"/>
  <c r="M14" i="16"/>
  <c r="M13" i="16"/>
  <c r="M12" i="16"/>
  <c r="M11" i="16"/>
  <c r="M10" i="16"/>
  <c r="M9" i="16"/>
  <c r="M8" i="16"/>
  <c r="M7" i="16"/>
  <c r="M6" i="16"/>
  <c r="M5" i="16"/>
  <c r="M4" i="16"/>
  <c r="M3" i="16"/>
  <c r="M2" i="16"/>
  <c r="M21" i="26"/>
  <c r="M20" i="26"/>
  <c r="M19" i="26"/>
  <c r="M18" i="26"/>
  <c r="M17" i="26"/>
  <c r="M16" i="26"/>
  <c r="M15" i="26"/>
  <c r="M14" i="26"/>
  <c r="M13" i="26"/>
  <c r="M12" i="26"/>
  <c r="M11" i="26"/>
  <c r="M10" i="26"/>
  <c r="M9" i="26"/>
  <c r="M8" i="26"/>
  <c r="M7" i="26"/>
  <c r="M6" i="26"/>
  <c r="M5" i="26"/>
  <c r="M4" i="26"/>
  <c r="M3" i="26"/>
  <c r="M2" i="26"/>
  <c r="M21" i="25"/>
  <c r="M20" i="25"/>
  <c r="M19" i="25"/>
  <c r="M18" i="25"/>
  <c r="M17" i="25"/>
  <c r="M16" i="25"/>
  <c r="M15" i="25"/>
  <c r="M14" i="25"/>
  <c r="M13" i="25"/>
  <c r="M12" i="25"/>
  <c r="M11" i="25"/>
  <c r="M10" i="25"/>
  <c r="M9" i="25"/>
  <c r="M8" i="25"/>
  <c r="M7" i="25"/>
  <c r="M6" i="25"/>
  <c r="M5" i="25"/>
  <c r="M4" i="25"/>
  <c r="M3" i="25"/>
  <c r="M2" i="25"/>
  <c r="M21" i="10"/>
  <c r="M20" i="10"/>
  <c r="M19" i="10"/>
  <c r="M18" i="10"/>
  <c r="M17" i="10"/>
  <c r="M16" i="10"/>
  <c r="M15" i="10"/>
  <c r="M14" i="10"/>
  <c r="M13" i="10"/>
  <c r="M12" i="10"/>
  <c r="M11" i="10"/>
  <c r="M10" i="10"/>
  <c r="M9" i="10"/>
  <c r="M8" i="10"/>
  <c r="M7" i="10"/>
  <c r="M6" i="10"/>
  <c r="M5" i="10"/>
  <c r="M4" i="10"/>
  <c r="M3" i="10"/>
  <c r="M2" i="10"/>
  <c r="M21" i="20"/>
  <c r="M20" i="20"/>
  <c r="M19" i="20"/>
  <c r="M18" i="20"/>
  <c r="M17" i="20"/>
  <c r="M16" i="20"/>
  <c r="M15" i="20"/>
  <c r="M14" i="20"/>
  <c r="M13" i="20"/>
  <c r="M12" i="20"/>
  <c r="M11" i="20"/>
  <c r="M10" i="20"/>
  <c r="M9" i="20"/>
  <c r="M8" i="20"/>
  <c r="M7" i="20"/>
  <c r="M6" i="20"/>
  <c r="M5" i="20"/>
  <c r="M4" i="20"/>
  <c r="M3" i="20"/>
  <c r="M2" i="20"/>
  <c r="M21" i="24"/>
  <c r="M20" i="24"/>
  <c r="M19" i="24"/>
  <c r="M18" i="24"/>
  <c r="M17" i="24"/>
  <c r="M16" i="24"/>
  <c r="M15" i="24"/>
  <c r="M14" i="24"/>
  <c r="M13" i="24"/>
  <c r="M12" i="24"/>
  <c r="M11" i="24"/>
  <c r="M10" i="24"/>
  <c r="M9" i="24"/>
  <c r="M8" i="24"/>
  <c r="M7" i="24"/>
  <c r="M6" i="24"/>
  <c r="M5" i="24"/>
  <c r="M4" i="24"/>
  <c r="M3" i="24"/>
  <c r="M2" i="24"/>
  <c r="M21" i="21"/>
  <c r="M20" i="21"/>
  <c r="M19" i="21"/>
  <c r="M18" i="21"/>
  <c r="M17" i="21"/>
  <c r="M16" i="21"/>
  <c r="M15" i="21"/>
  <c r="M14" i="21"/>
  <c r="M13" i="21"/>
  <c r="M12" i="21"/>
  <c r="M11" i="21"/>
  <c r="M10" i="21"/>
  <c r="M9" i="21"/>
  <c r="M8" i="21"/>
  <c r="M7" i="21"/>
  <c r="M6" i="21"/>
  <c r="M5" i="21"/>
  <c r="M4" i="21"/>
  <c r="M3" i="21"/>
  <c r="M2" i="21"/>
  <c r="M21" i="5"/>
  <c r="M20" i="5"/>
  <c r="M19" i="5"/>
  <c r="M18" i="5"/>
  <c r="M17" i="5"/>
  <c r="M16" i="5"/>
  <c r="M15" i="5"/>
  <c r="M14" i="5"/>
  <c r="M13" i="5"/>
  <c r="M12" i="5"/>
  <c r="M11" i="5"/>
  <c r="M10" i="5"/>
  <c r="M9" i="5"/>
  <c r="M8" i="5"/>
  <c r="M7" i="5"/>
  <c r="M6" i="5"/>
  <c r="M5" i="5"/>
  <c r="M4" i="5"/>
  <c r="M3" i="5"/>
  <c r="M2" i="5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M4" i="12"/>
  <c r="M3" i="12"/>
  <c r="M2" i="12"/>
  <c r="M21" i="18"/>
  <c r="M20" i="18"/>
  <c r="M19" i="18"/>
  <c r="M18" i="18"/>
  <c r="M17" i="18"/>
  <c r="M16" i="18"/>
  <c r="M15" i="18"/>
  <c r="M14" i="18"/>
  <c r="M13" i="18"/>
  <c r="M12" i="18"/>
  <c r="M11" i="18"/>
  <c r="M10" i="18"/>
  <c r="M9" i="18"/>
  <c r="M8" i="18"/>
  <c r="M7" i="18"/>
  <c r="M6" i="18"/>
  <c r="M5" i="18"/>
  <c r="M4" i="18"/>
  <c r="M3" i="18"/>
  <c r="M2" i="18"/>
  <c r="M21" i="17"/>
  <c r="M20" i="17"/>
  <c r="M19" i="17"/>
  <c r="M18" i="17"/>
  <c r="M17" i="17"/>
  <c r="M16" i="17"/>
  <c r="M15" i="17"/>
  <c r="M14" i="17"/>
  <c r="M13" i="17"/>
  <c r="M12" i="17"/>
  <c r="M11" i="17"/>
  <c r="M10" i="17"/>
  <c r="M9" i="17"/>
  <c r="M8" i="17"/>
  <c r="M7" i="17"/>
  <c r="M6" i="17"/>
  <c r="M5" i="17"/>
  <c r="M4" i="17"/>
  <c r="M3" i="17"/>
  <c r="M2" i="17"/>
  <c r="M21" i="8"/>
  <c r="M20" i="8"/>
  <c r="M19" i="8"/>
  <c r="M18" i="8"/>
  <c r="M17" i="8"/>
  <c r="M16" i="8"/>
  <c r="M15" i="8"/>
  <c r="M14" i="8"/>
  <c r="M13" i="8"/>
  <c r="M12" i="8"/>
  <c r="M11" i="8"/>
  <c r="M10" i="8"/>
  <c r="M9" i="8"/>
  <c r="M8" i="8"/>
  <c r="M7" i="8"/>
  <c r="M6" i="8"/>
  <c r="M5" i="8"/>
  <c r="M4" i="8"/>
  <c r="M3" i="8"/>
  <c r="M2" i="8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M7" i="7"/>
  <c r="M6" i="7"/>
  <c r="M5" i="7"/>
  <c r="M4" i="7"/>
  <c r="M3" i="7"/>
  <c r="M2" i="7"/>
  <c r="M21" i="4"/>
  <c r="M20" i="4"/>
  <c r="M19" i="4"/>
  <c r="M18" i="4"/>
  <c r="M17" i="4"/>
  <c r="M16" i="4"/>
  <c r="M15" i="4"/>
  <c r="M14" i="4"/>
  <c r="M13" i="4"/>
  <c r="M12" i="4"/>
  <c r="M11" i="4"/>
  <c r="M10" i="4"/>
  <c r="M9" i="4"/>
  <c r="M8" i="4"/>
  <c r="M7" i="4"/>
  <c r="M6" i="4"/>
  <c r="M5" i="4"/>
  <c r="M4" i="4"/>
  <c r="M3" i="4"/>
  <c r="M2" i="4"/>
  <c r="M21" i="23"/>
  <c r="M20" i="23"/>
  <c r="M19" i="23"/>
  <c r="M18" i="23"/>
  <c r="M17" i="23"/>
  <c r="M16" i="23"/>
  <c r="M15" i="23"/>
  <c r="M14" i="23"/>
  <c r="M13" i="23"/>
  <c r="M12" i="23"/>
  <c r="M11" i="23"/>
  <c r="M10" i="23"/>
  <c r="M9" i="23"/>
  <c r="M8" i="23"/>
  <c r="M7" i="23"/>
  <c r="M6" i="23"/>
  <c r="M5" i="23"/>
  <c r="M4" i="23"/>
  <c r="M3" i="23"/>
  <c r="M2" i="23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M6" i="9"/>
  <c r="M5" i="9"/>
  <c r="M4" i="9"/>
  <c r="M3" i="9"/>
  <c r="M2" i="9"/>
  <c r="M21" i="13"/>
  <c r="M20" i="13"/>
  <c r="M19" i="13"/>
  <c r="M18" i="13"/>
  <c r="M17" i="13"/>
  <c r="M16" i="13"/>
  <c r="M15" i="13"/>
  <c r="M14" i="13"/>
  <c r="M13" i="13"/>
  <c r="M12" i="13"/>
  <c r="M11" i="13"/>
  <c r="M10" i="13"/>
  <c r="M9" i="13"/>
  <c r="M8" i="13"/>
  <c r="M7" i="13"/>
  <c r="M6" i="13"/>
  <c r="M5" i="13"/>
  <c r="M4" i="13"/>
  <c r="M3" i="13"/>
  <c r="M2" i="13"/>
  <c r="M21" i="3"/>
  <c r="M20" i="3"/>
  <c r="M19" i="3"/>
  <c r="M18" i="3"/>
  <c r="M17" i="3"/>
  <c r="M16" i="3"/>
  <c r="M15" i="3"/>
  <c r="M14" i="3"/>
  <c r="M13" i="3"/>
  <c r="M12" i="3"/>
  <c r="M11" i="3"/>
  <c r="M10" i="3"/>
  <c r="M9" i="3"/>
  <c r="M8" i="3"/>
  <c r="M7" i="3"/>
  <c r="M6" i="3"/>
  <c r="M5" i="3"/>
  <c r="M4" i="3"/>
  <c r="M3" i="3"/>
  <c r="M2" i="3"/>
  <c r="M21" i="11"/>
  <c r="M20" i="11"/>
  <c r="M19" i="11"/>
  <c r="M18" i="11"/>
  <c r="M17" i="11"/>
  <c r="M16" i="11"/>
  <c r="M15" i="11"/>
  <c r="M14" i="11"/>
  <c r="M13" i="11"/>
  <c r="M12" i="11"/>
  <c r="M11" i="11"/>
  <c r="M10" i="11"/>
  <c r="M9" i="11"/>
  <c r="M8" i="11"/>
  <c r="M7" i="11"/>
  <c r="M6" i="11"/>
  <c r="M5" i="11"/>
  <c r="M4" i="11"/>
  <c r="M3" i="11"/>
  <c r="M2" i="11"/>
  <c r="M21" i="6"/>
  <c r="M20" i="6"/>
  <c r="M19" i="6"/>
  <c r="M18" i="6"/>
  <c r="M17" i="6"/>
  <c r="M16" i="6"/>
  <c r="M15" i="6"/>
  <c r="M14" i="6"/>
  <c r="M13" i="6"/>
  <c r="M12" i="6"/>
  <c r="M11" i="6"/>
  <c r="M10" i="6"/>
  <c r="M9" i="6"/>
  <c r="M8" i="6"/>
  <c r="M7" i="6"/>
  <c r="M6" i="6"/>
  <c r="M5" i="6"/>
  <c r="M4" i="6"/>
  <c r="M3" i="6"/>
  <c r="M2" i="6"/>
  <c r="M21" i="15"/>
  <c r="M20" i="15"/>
  <c r="M19" i="15"/>
  <c r="M18" i="15"/>
  <c r="M17" i="15"/>
  <c r="M16" i="15"/>
  <c r="M15" i="15"/>
  <c r="M14" i="15"/>
  <c r="M13" i="15"/>
  <c r="M12" i="15"/>
  <c r="M11" i="15"/>
  <c r="M10" i="15"/>
  <c r="M9" i="15"/>
  <c r="M8" i="15"/>
  <c r="M7" i="15"/>
  <c r="M6" i="15"/>
  <c r="M5" i="15"/>
  <c r="M4" i="15"/>
  <c r="M3" i="15"/>
  <c r="M2" i="15"/>
  <c r="M21" i="19"/>
  <c r="M20" i="19"/>
  <c r="M19" i="19"/>
  <c r="M18" i="19"/>
  <c r="M17" i="19"/>
  <c r="M16" i="19"/>
  <c r="M15" i="19"/>
  <c r="M14" i="19"/>
  <c r="M13" i="19"/>
  <c r="M12" i="19"/>
  <c r="M11" i="19"/>
  <c r="M10" i="19"/>
  <c r="M9" i="19"/>
  <c r="M8" i="19"/>
  <c r="M7" i="19"/>
  <c r="M6" i="19"/>
  <c r="M5" i="19"/>
  <c r="M4" i="19"/>
  <c r="M3" i="19"/>
  <c r="M2" i="19"/>
  <c r="M21" i="14"/>
  <c r="M20" i="14"/>
  <c r="M19" i="14"/>
  <c r="M18" i="14"/>
  <c r="M17" i="14"/>
  <c r="M16" i="14"/>
  <c r="M15" i="14"/>
  <c r="M14" i="14"/>
  <c r="M13" i="14"/>
  <c r="M12" i="14"/>
  <c r="M11" i="14"/>
  <c r="M10" i="14"/>
  <c r="M9" i="14"/>
  <c r="M8" i="14"/>
  <c r="M7" i="14"/>
  <c r="M6" i="14"/>
  <c r="M5" i="14"/>
  <c r="M4" i="14"/>
  <c r="M3" i="14"/>
  <c r="M2" i="14"/>
  <c r="M21" i="1"/>
  <c r="M20" i="1"/>
  <c r="M19" i="1"/>
  <c r="M18" i="1"/>
  <c r="M17" i="1"/>
  <c r="M16" i="1"/>
  <c r="M15" i="1"/>
  <c r="M14" i="1"/>
  <c r="M13" i="1"/>
  <c r="M12" i="1"/>
  <c r="M11" i="1"/>
  <c r="M10" i="1"/>
  <c r="M9" i="1"/>
  <c r="M8" i="1"/>
  <c r="M7" i="1"/>
  <c r="M6" i="1"/>
  <c r="M5" i="1"/>
  <c r="M4" i="1"/>
  <c r="M3" i="1"/>
  <c r="M2" i="1"/>
  <c r="K26" i="2" l="1"/>
  <c r="K25" i="2"/>
  <c r="K24" i="2"/>
  <c r="K23" i="2"/>
  <c r="K22" i="2"/>
  <c r="K21" i="2"/>
  <c r="K20" i="2"/>
  <c r="K19" i="2"/>
  <c r="K18" i="2"/>
  <c r="K17" i="2"/>
  <c r="K16" i="2"/>
  <c r="K15" i="2"/>
  <c r="K14" i="2"/>
  <c r="K13" i="2"/>
  <c r="K12" i="2"/>
  <c r="K11" i="2"/>
  <c r="K10" i="2"/>
  <c r="K9" i="2"/>
  <c r="K8" i="2"/>
  <c r="K7" i="2"/>
  <c r="K6" i="2"/>
  <c r="K5" i="2"/>
  <c r="K4" i="2"/>
  <c r="K3" i="2"/>
  <c r="K2" i="2"/>
  <c r="I26" i="2"/>
  <c r="I25" i="2"/>
  <c r="I24" i="2"/>
  <c r="I23" i="2"/>
  <c r="I22" i="2"/>
  <c r="I21" i="2"/>
  <c r="I20" i="2"/>
  <c r="I19" i="2"/>
  <c r="I18" i="2"/>
  <c r="I17" i="2"/>
  <c r="I16" i="2"/>
  <c r="I15" i="2"/>
  <c r="I14" i="2"/>
  <c r="I13" i="2"/>
  <c r="I12" i="2"/>
  <c r="I11" i="2"/>
  <c r="I10" i="2"/>
  <c r="I9" i="2"/>
  <c r="I8" i="2"/>
  <c r="I7" i="2"/>
  <c r="I6" i="2"/>
  <c r="I5" i="2"/>
  <c r="I4" i="2"/>
  <c r="I3" i="2"/>
  <c r="I2" i="2"/>
  <c r="H26" i="2"/>
  <c r="H25" i="2"/>
  <c r="H24" i="2"/>
  <c r="H23" i="2"/>
  <c r="H22" i="2"/>
  <c r="H21" i="2"/>
  <c r="H20" i="2"/>
  <c r="H19" i="2"/>
  <c r="H18" i="2"/>
  <c r="H17" i="2"/>
  <c r="H16" i="2"/>
  <c r="H15" i="2"/>
  <c r="H14" i="2"/>
  <c r="H13" i="2"/>
  <c r="H12" i="2"/>
  <c r="H11" i="2"/>
  <c r="H10" i="2"/>
  <c r="H9" i="2"/>
  <c r="H8" i="2"/>
  <c r="H7" i="2"/>
  <c r="H6" i="2"/>
  <c r="H5" i="2"/>
  <c r="H4" i="2"/>
  <c r="H3" i="2"/>
  <c r="H2" i="2"/>
  <c r="G6" i="2"/>
  <c r="G22" i="2"/>
  <c r="D26" i="2"/>
  <c r="D25" i="2"/>
  <c r="D24" i="2"/>
  <c r="D23" i="2"/>
  <c r="D22" i="2"/>
  <c r="D21" i="2"/>
  <c r="D20" i="2"/>
  <c r="D19" i="2"/>
  <c r="D18" i="2"/>
  <c r="D17" i="2"/>
  <c r="D16" i="2"/>
  <c r="D15" i="2"/>
  <c r="D14" i="2"/>
  <c r="D13" i="2"/>
  <c r="D12" i="2"/>
  <c r="D11" i="2"/>
  <c r="D10" i="2"/>
  <c r="D9" i="2"/>
  <c r="D8" i="2"/>
  <c r="D7" i="2"/>
  <c r="D6" i="2"/>
  <c r="D5" i="2"/>
  <c r="D4" i="2"/>
  <c r="D3" i="2"/>
  <c r="D2" i="2"/>
  <c r="C26" i="2"/>
  <c r="G26" i="2" s="1"/>
  <c r="C25" i="2"/>
  <c r="G25" i="2" s="1"/>
  <c r="C24" i="2"/>
  <c r="G24" i="2" s="1"/>
  <c r="C23" i="2"/>
  <c r="G23" i="2" s="1"/>
  <c r="C22" i="2"/>
  <c r="C21" i="2"/>
  <c r="G21" i="2" s="1"/>
  <c r="C20" i="2"/>
  <c r="G20" i="2" s="1"/>
  <c r="C19" i="2"/>
  <c r="G19" i="2" s="1"/>
  <c r="C18" i="2"/>
  <c r="G18" i="2" s="1"/>
  <c r="C17" i="2"/>
  <c r="G17" i="2" s="1"/>
  <c r="C16" i="2"/>
  <c r="G16" i="2" s="1"/>
  <c r="C15" i="2"/>
  <c r="G15" i="2" s="1"/>
  <c r="C14" i="2"/>
  <c r="G14" i="2" s="1"/>
  <c r="C13" i="2"/>
  <c r="G13" i="2" s="1"/>
  <c r="C12" i="2"/>
  <c r="G12" i="2" s="1"/>
  <c r="C11" i="2"/>
  <c r="G11" i="2" s="1"/>
  <c r="C10" i="2"/>
  <c r="G10" i="2" s="1"/>
  <c r="C9" i="2"/>
  <c r="G9" i="2" s="1"/>
  <c r="C8" i="2"/>
  <c r="G8" i="2" s="1"/>
  <c r="C7" i="2"/>
  <c r="G7" i="2" s="1"/>
  <c r="C6" i="2"/>
  <c r="C5" i="2"/>
  <c r="G5" i="2" s="1"/>
  <c r="C4" i="2"/>
  <c r="G4" i="2" s="1"/>
  <c r="C3" i="2"/>
  <c r="G3" i="2" s="1"/>
  <c r="C2" i="2"/>
  <c r="G2" i="2" s="1"/>
  <c r="B26" i="2"/>
  <c r="B25" i="2"/>
  <c r="B24" i="2"/>
  <c r="B23" i="2"/>
  <c r="B22" i="2"/>
  <c r="B21" i="2"/>
  <c r="B20" i="2"/>
  <c r="B19" i="2"/>
  <c r="B18" i="2"/>
  <c r="B17" i="2"/>
  <c r="B16" i="2"/>
  <c r="B15" i="2"/>
  <c r="B14" i="2"/>
  <c r="B13" i="2"/>
  <c r="B12" i="2"/>
  <c r="B11" i="2"/>
  <c r="B10" i="2"/>
  <c r="B9" i="2"/>
  <c r="B8" i="2"/>
  <c r="B7" i="2"/>
  <c r="B6" i="2"/>
  <c r="B5" i="2"/>
  <c r="B4" i="2"/>
  <c r="B3" i="2"/>
  <c r="B2" i="2"/>
  <c r="G2" i="4" l="1"/>
  <c r="F2" i="22"/>
  <c r="F2" i="4"/>
  <c r="F2" i="1"/>
  <c r="F2" i="5"/>
  <c r="F2" i="19"/>
  <c r="G2" i="10"/>
  <c r="F2" i="10"/>
  <c r="F2" i="20"/>
  <c r="G2" i="21"/>
  <c r="F2" i="21"/>
  <c r="F2" i="11"/>
  <c r="F2" i="6"/>
</calcChain>
</file>

<file path=xl/sharedStrings.xml><?xml version="1.0" encoding="utf-8"?>
<sst xmlns="http://schemas.openxmlformats.org/spreadsheetml/2006/main" count="173" uniqueCount="43">
  <si>
    <t>Runtime</t>
  </si>
  <si>
    <t>Accuracy</t>
  </si>
  <si>
    <t>Avg. Distance Score</t>
  </si>
  <si>
    <t>control</t>
  </si>
  <si>
    <t>grid-state</t>
  </si>
  <si>
    <t>grid-vector-binned-state</t>
  </si>
  <si>
    <t>high-iteration</t>
  </si>
  <si>
    <t>human-ass</t>
  </si>
  <si>
    <t>vector-state</t>
  </si>
  <si>
    <t>vector-binned-state</t>
  </si>
  <si>
    <t>small-grid-state</t>
  </si>
  <si>
    <t>small-batchsize-small-poolsize</t>
  </si>
  <si>
    <t>human-ass-low-iteration</t>
  </si>
  <si>
    <t>random-seeker-random-goal</t>
  </si>
  <si>
    <t>large-grid-state</t>
  </si>
  <si>
    <t>low-iteration</t>
  </si>
  <si>
    <t>low-iteration-prio-sweep</t>
  </si>
  <si>
    <t>low-stride</t>
  </si>
  <si>
    <t>predefined-seeker</t>
  </si>
  <si>
    <t>predefined-seeker-random-goal</t>
  </si>
  <si>
    <t>prio-sweep</t>
  </si>
  <si>
    <t>small-batchsize</t>
  </si>
  <si>
    <t>very-high-iteration</t>
  </si>
  <si>
    <t>Median</t>
  </si>
  <si>
    <t>Avg</t>
  </si>
  <si>
    <t>T-Test vs Control</t>
  </si>
  <si>
    <t>Stddev</t>
  </si>
  <si>
    <t>%</t>
  </si>
  <si>
    <t>T-Test vs low iteration</t>
  </si>
  <si>
    <t>T-test vs smallbatchsize</t>
  </si>
  <si>
    <t>t-test vs control</t>
  </si>
  <si>
    <t>vs control</t>
  </si>
  <si>
    <t>vs smallbatch</t>
  </si>
  <si>
    <t>vs spatial (grid-state)</t>
  </si>
  <si>
    <t>random-baseline</t>
  </si>
  <si>
    <t>vs grid-state</t>
  </si>
  <si>
    <t>small-grid-vector-state</t>
  </si>
  <si>
    <t>very-high-iteration-full-batch</t>
  </si>
  <si>
    <t>large-poolsize</t>
  </si>
  <si>
    <t>large-batchsize-large-poolsize</t>
  </si>
  <si>
    <t>Avg/ctrl</t>
  </si>
  <si>
    <t>Avg/ctrl.stdev</t>
  </si>
  <si>
    <t>Runtime stdev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</si>
</sst>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"/>
    <numFmt numFmtId="165" formatCode="0.000000"/>
    <numFmt numFmtId="166" formatCode="0.0000000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5">
    <xf numFmtId="0" fontId="0" fillId="0" borderId="0" xfId="0"/>
    <xf numFmtId="164" fontId="0" fillId="0" borderId="0" xfId="0" applyNumberFormat="1"/>
    <xf numFmtId="165" fontId="0" fillId="0" borderId="0" xfId="0" applyNumberFormat="1"/>
    <xf numFmtId="166" fontId="0" fillId="0" borderId="0" xfId="0" applyNumberFormat="1"/>
    <xf numFmtId="2" fontId="0" fillId="0" borderId="0" xfId="0" applyNumberFormat="1"/>
  </cellXfs>
  <cellStyles count="42">
    <cellStyle name="20 % - Markeringsfarve1" xfId="19" builtinId="30" customBuiltin="1"/>
    <cellStyle name="20 % - Markeringsfarve2" xfId="23" builtinId="34" customBuiltin="1"/>
    <cellStyle name="20 % - Markeringsfarve3" xfId="27" builtinId="38" customBuiltin="1"/>
    <cellStyle name="20 % - Markeringsfarve4" xfId="31" builtinId="42" customBuiltin="1"/>
    <cellStyle name="20 % - Markeringsfarve5" xfId="35" builtinId="46" customBuiltin="1"/>
    <cellStyle name="20 % - Markeringsfarve6" xfId="39" builtinId="50" customBuiltin="1"/>
    <cellStyle name="40 % - Markeringsfarve1" xfId="20" builtinId="31" customBuiltin="1"/>
    <cellStyle name="40 % - Markeringsfarve2" xfId="24" builtinId="35" customBuiltin="1"/>
    <cellStyle name="40 % - Markeringsfarve3" xfId="28" builtinId="39" customBuiltin="1"/>
    <cellStyle name="40 % - Markeringsfarve4" xfId="32" builtinId="43" customBuiltin="1"/>
    <cellStyle name="40 % - Markeringsfarve5" xfId="36" builtinId="47" customBuiltin="1"/>
    <cellStyle name="40 % - Markeringsfarve6" xfId="40" builtinId="51" customBuiltin="1"/>
    <cellStyle name="60 % - Markeringsfarve1" xfId="21" builtinId="32" customBuiltin="1"/>
    <cellStyle name="60 % - Markeringsfarve2" xfId="25" builtinId="36" customBuiltin="1"/>
    <cellStyle name="60 % - Markeringsfarve3" xfId="29" builtinId="40" customBuiltin="1"/>
    <cellStyle name="60 % - Markeringsfarve4" xfId="33" builtinId="44" customBuiltin="1"/>
    <cellStyle name="60 % - Markeringsfarve5" xfId="37" builtinId="48" customBuiltin="1"/>
    <cellStyle name="60 % - Markeringsfarve6" xfId="41" builtinId="52" customBuiltin="1"/>
    <cellStyle name="Advarselstekst" xfId="14" builtinId="11" customBuiltin="1"/>
    <cellStyle name="Bemærk!" xfId="15" builtinId="10" customBuiltin="1"/>
    <cellStyle name="Beregning" xfId="11" builtinId="22" customBuiltin="1"/>
    <cellStyle name="Forklarende tekst" xfId="16" builtinId="53" customBuiltin="1"/>
    <cellStyle name="God" xfId="6" builtinId="26" customBuiltin="1"/>
    <cellStyle name="Input" xfId="9" builtinId="20" customBuiltin="1"/>
    <cellStyle name="Kontroller celle" xfId="13" builtinId="23" customBuiltin="1"/>
    <cellStyle name="Markeringsfarve1" xfId="18" builtinId="29" customBuiltin="1"/>
    <cellStyle name="Markeringsfarve2" xfId="22" builtinId="33" customBuiltin="1"/>
    <cellStyle name="Markeringsfarve3" xfId="26" builtinId="37" customBuiltin="1"/>
    <cellStyle name="Markeringsfarve4" xfId="30" builtinId="41" customBuiltin="1"/>
    <cellStyle name="Markeringsfarve5" xfId="34" builtinId="45" customBuiltin="1"/>
    <cellStyle name="Markeringsfarve6" xfId="38" builtinId="49" customBuiltin="1"/>
    <cellStyle name="Neutral" xfId="8" builtinId="28" customBuiltin="1"/>
    <cellStyle name="Normal" xfId="0" builtinId="0"/>
    <cellStyle name="Output" xfId="10" builtinId="21" customBuiltin="1"/>
    <cellStyle name="Overskrift 1" xfId="2" builtinId="16" customBuiltin="1"/>
    <cellStyle name="Overskrift 2" xfId="3" builtinId="17" customBuiltin="1"/>
    <cellStyle name="Overskrift 3" xfId="4" builtinId="18" customBuiltin="1"/>
    <cellStyle name="Overskrift 4" xfId="5" builtinId="19" customBuiltin="1"/>
    <cellStyle name="Sammenkædet celle" xfId="12" builtinId="24" customBuiltin="1"/>
    <cellStyle name="Titel" xfId="1" builtinId="15" customBuiltin="1"/>
    <cellStyle name="Total" xfId="17" builtinId="25" customBuiltin="1"/>
    <cellStyle name="Ugyldig" xfId="7" builtinId="27" customBuiltin="1"/>
  </cellStyles>
  <dxfs count="2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Kontortema">
  <a:themeElements>
    <a:clrScheme name="Kont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ont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ont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"/>
  <dimension ref="A1:Q26"/>
  <sheetViews>
    <sheetView workbookViewId="0"/>
  </sheetViews>
  <sheetFormatPr defaultRowHeight="14.4" x14ac:dyDescent="0.3"/>
  <cols>
    <col min="1" max="1" width="27.33203125" bestFit="1" customWidth="1"/>
    <col min="2" max="2" width="12.33203125" bestFit="1" customWidth="1"/>
    <col min="3" max="3" width="8.33203125" bestFit="1" customWidth="1"/>
    <col min="4" max="4" width="17" bestFit="1" customWidth="1"/>
    <col min="6" max="6" width="12.33203125" bestFit="1" customWidth="1"/>
    <col min="8" max="8" width="12.33203125" bestFit="1" customWidth="1"/>
    <col min="11" max="11" width="12.33203125" bestFit="1" customWidth="1"/>
  </cols>
  <sheetData>
    <row r="1" spans="1:17" x14ac:dyDescent="0.25">
      <c r="B1" t="s">
        <v>0</v>
      </c>
      <c r="C1" t="s">
        <v>1</v>
      </c>
      <c r="D1" t="s">
        <v>2</v>
      </c>
      <c r="G1" t="s">
        <v>24</v>
      </c>
      <c r="H1" t="s">
        <v>23</v>
      </c>
      <c r="I1" t="s">
        <v>26</v>
      </c>
      <c r="J1" t="s">
        <v>27</v>
      </c>
      <c r="M1" t="s">
        <v>40</v>
      </c>
      <c r="N1" t="s">
        <v>41</v>
      </c>
      <c r="Q1" t="s">
        <v>42</v>
      </c>
    </row>
    <row r="2" spans="1:17" x14ac:dyDescent="0.25">
      <c r="A2" t="s">
        <v>3</v>
      </c>
      <c r="B2">
        <f>AVERAGE(control!A2:A21)</f>
        <v>298.33399999999995</v>
      </c>
      <c r="C2">
        <f>AVERAGE(control!B2:B21)</f>
        <v>0.36299999999999999</v>
      </c>
      <c r="D2">
        <f>AVERAGE(control!C2:C21)</f>
        <v>0.27299999999999996</v>
      </c>
      <c r="G2" s="1">
        <f t="shared" ref="G2:G26" si="0">C2</f>
        <v>0.36299999999999999</v>
      </c>
      <c r="H2" s="1">
        <f>MEDIAN(control!B2:B21)</f>
        <v>0.36</v>
      </c>
      <c r="I2" s="1">
        <f>_xlfn.STDEV.S(control!B2:B21)</f>
        <v>0.19347514460247173</v>
      </c>
      <c r="J2" s="4">
        <f>(G2-G2)/ABS(G2)%</f>
        <v>0</v>
      </c>
      <c r="K2" s="1">
        <f>_xlfn.T.TEST(control!B2:B21,control!B2:B21,1,3)</f>
        <v>0.5</v>
      </c>
      <c r="M2">
        <f>AVERAGE(control!M2:M21)</f>
        <v>1</v>
      </c>
      <c r="N2">
        <f>_xlfn.STDEV.S(control!M2:M21)</f>
        <v>0.5329893790701703</v>
      </c>
      <c r="Q2">
        <f>_xlfn.STDEV.S(control!A2:A21)</f>
        <v>95.449556553793627</v>
      </c>
    </row>
    <row r="3" spans="1:17" x14ac:dyDescent="0.25">
      <c r="A3" t="s">
        <v>15</v>
      </c>
      <c r="B3">
        <f>AVERAGE('low-iteration'!A2:A21)</f>
        <v>36.854500000000009</v>
      </c>
      <c r="C3">
        <f>AVERAGE('low-iteration'!B2:B21)</f>
        <v>0.16049999999999998</v>
      </c>
      <c r="D3">
        <f>AVERAGE('low-iteration'!C2:C21)</f>
        <v>0.20200000000000001</v>
      </c>
      <c r="G3" s="1">
        <f t="shared" si="0"/>
        <v>0.16049999999999998</v>
      </c>
      <c r="H3" s="1">
        <f>MEDIAN('low-iteration'!B2:B21)</f>
        <v>0.14499999999999999</v>
      </c>
      <c r="I3" s="1">
        <f>_xlfn.STDEV.S('low-iteration'!B2:B21)</f>
        <v>0.14961265778142258</v>
      </c>
      <c r="J3" s="4">
        <f>(G3-G2)/ABS(G2)%</f>
        <v>-55.785123966942152</v>
      </c>
      <c r="K3" s="1">
        <f>_xlfn.T.TEST('low-iteration'!B2:B21,control!B2:B21,1,3)</f>
        <v>3.5784730207366448E-4</v>
      </c>
      <c r="M3">
        <f>AVERAGE('low-iteration'!M2:M21)</f>
        <v>0.44214876033057859</v>
      </c>
      <c r="N3">
        <f>_xlfn.STDEV.S('low-iteration'!M2:M21)</f>
        <v>0.41215608204248633</v>
      </c>
      <c r="Q3">
        <f>_xlfn.STDEV.S('low-iteration'!A2:A21)</f>
        <v>19.13597396885881</v>
      </c>
    </row>
    <row r="4" spans="1:17" x14ac:dyDescent="0.25">
      <c r="A4" t="s">
        <v>20</v>
      </c>
      <c r="B4">
        <f>AVERAGE('prio-sweep'!A2:A21)</f>
        <v>67.02849999999998</v>
      </c>
      <c r="C4">
        <f>AVERAGE('prio-sweep'!B2:B21)</f>
        <v>1.5000000000000003E-2</v>
      </c>
      <c r="D4">
        <f>AVERAGE('prio-sweep'!C2:C21)</f>
        <v>0.14100000000000004</v>
      </c>
      <c r="G4" s="1">
        <f t="shared" si="0"/>
        <v>1.5000000000000003E-2</v>
      </c>
      <c r="H4" s="1">
        <f>MEDIAN('prio-sweep'!B2:B21)</f>
        <v>0.01</v>
      </c>
      <c r="I4" s="1">
        <f>_xlfn.STDEV.S('prio-sweep'!B2:B21)</f>
        <v>2.0390916450326851E-2</v>
      </c>
      <c r="J4" s="4">
        <f>(G4-G2)/ABS(G2)%</f>
        <v>-95.867768595041312</v>
      </c>
      <c r="K4" s="1">
        <f>_xlfn.T.TEST('prio-sweep'!B2:B21,control!B2:B21,1,3)</f>
        <v>7.1798488814735596E-8</v>
      </c>
      <c r="M4">
        <f>AVERAGE('prio-sweep'!M2:M21)</f>
        <v>4.1322314049586771E-2</v>
      </c>
      <c r="N4">
        <f>_xlfn.STDEV.S('prio-sweep'!M2:M21)</f>
        <v>5.6173323554619466E-2</v>
      </c>
      <c r="Q4">
        <f>_xlfn.STDEV.S('prio-sweep'!A2:A21)</f>
        <v>18.075706952761411</v>
      </c>
    </row>
    <row r="5" spans="1:17" x14ac:dyDescent="0.25">
      <c r="A5" t="s">
        <v>16</v>
      </c>
      <c r="B5">
        <f>AVERAGE('low-iteration-prio-sweep'!A2:A21)</f>
        <v>13.335000000000003</v>
      </c>
      <c r="C5">
        <f>AVERAGE('low-iteration-prio-sweep'!B2:B21)</f>
        <v>1.3000000000000003E-2</v>
      </c>
      <c r="D5">
        <f>AVERAGE('low-iteration-prio-sweep'!C2:C21)</f>
        <v>0.13999999999999996</v>
      </c>
      <c r="G5" s="1">
        <f t="shared" si="0"/>
        <v>1.3000000000000003E-2</v>
      </c>
      <c r="H5" s="1">
        <f>MEDIAN('low-iteration-prio-sweep'!B2:B21)</f>
        <v>0.01</v>
      </c>
      <c r="I5" s="1">
        <f>_xlfn.STDEV.S('low-iteration-prio-sweep'!B2:B21)</f>
        <v>1.2182817926554549E-2</v>
      </c>
      <c r="J5" s="4">
        <f>(G5-G2)/ABS(G2)%</f>
        <v>-96.418732782369133</v>
      </c>
      <c r="K5" s="1">
        <f>_xlfn.T.TEST('low-iteration-prio-sweep'!B2:B21,control!B2:B21,1,3)</f>
        <v>6.9023222933281938E-8</v>
      </c>
      <c r="M5">
        <f>AVERAGE('low-iteration-prio-sweep'!M2:M21)</f>
        <v>3.5812672176308541E-2</v>
      </c>
      <c r="N5">
        <f>_xlfn.STDEV.S('low-iteration-prio-sweep'!M2:M21)</f>
        <v>3.3561481891334857E-2</v>
      </c>
      <c r="Q5">
        <f>_xlfn.STDEV.S('low-iteration-prio-sweep'!A2:A21)</f>
        <v>3.594648800647978</v>
      </c>
    </row>
    <row r="6" spans="1:17" x14ac:dyDescent="0.25">
      <c r="A6" t="s">
        <v>7</v>
      </c>
      <c r="B6">
        <f>AVERAGE('human-ass'!A2:A21)</f>
        <v>332.69650000000001</v>
      </c>
      <c r="C6">
        <f>AVERAGE('human-ass'!B2:B21)</f>
        <v>0.54449999999999998</v>
      </c>
      <c r="D6">
        <f>AVERAGE('human-ass'!C2:C21)</f>
        <v>0.33050000000000007</v>
      </c>
      <c r="G6" s="1">
        <f t="shared" si="0"/>
        <v>0.54449999999999998</v>
      </c>
      <c r="H6" s="1">
        <f>MEDIAN('human-ass'!B2:B21)</f>
        <v>0.54500000000000004</v>
      </c>
      <c r="I6" s="1">
        <f>_xlfn.STDEV.S('human-ass'!B2:B21)</f>
        <v>0.23455388787182677</v>
      </c>
      <c r="J6" s="4">
        <f>(G6-G2)/ABS(G2)%</f>
        <v>50</v>
      </c>
      <c r="K6" s="1">
        <f>_xlfn.T.TEST('human-ass'!B2:B21,control!B2:B21,1,3)</f>
        <v>5.6239940281825112E-3</v>
      </c>
      <c r="M6">
        <f>AVERAGE('human-ass'!M2:M21)</f>
        <v>1.5</v>
      </c>
      <c r="N6">
        <f>_xlfn.STDEV.S('human-ass'!M2:M21)</f>
        <v>0.64615396107941292</v>
      </c>
      <c r="Q6">
        <f>_xlfn.STDEV.S('human-ass'!A2:A21)</f>
        <v>80.819635008423006</v>
      </c>
    </row>
    <row r="7" spans="1:17" x14ac:dyDescent="0.25">
      <c r="A7" t="s">
        <v>12</v>
      </c>
      <c r="B7">
        <f>AVERAGE('human-ass-low-iteration'!A2:A21)</f>
        <v>31.657</v>
      </c>
      <c r="C7">
        <f>AVERAGE('human-ass-low-iteration'!B2:B21)</f>
        <v>0.127</v>
      </c>
      <c r="D7">
        <f>AVERAGE('human-ass-low-iteration'!C2:C21)</f>
        <v>0.193</v>
      </c>
      <c r="G7" s="1">
        <f t="shared" si="0"/>
        <v>0.127</v>
      </c>
      <c r="H7" s="1">
        <f>MEDIAN('human-ass-low-iteration'!B2:B21)</f>
        <v>9.5000000000000001E-2</v>
      </c>
      <c r="I7" s="1">
        <f>_xlfn.STDEV.S('human-ass-low-iteration'!B2:B21)</f>
        <v>9.3420385468336822E-2</v>
      </c>
      <c r="J7" s="4">
        <f>(G7-G2)/ABS(G2)%</f>
        <v>-65.013774104683193</v>
      </c>
      <c r="K7" s="1">
        <f>_xlfn.T.TEST('human-ass-low-iteration'!B2:B21,control!B2:B21,1,3)</f>
        <v>1.8577372731920966E-5</v>
      </c>
      <c r="M7">
        <f>AVERAGE('human-ass-low-iteration'!M2:M21)</f>
        <v>0.34986225895316803</v>
      </c>
      <c r="N7">
        <f>_xlfn.STDEV.S('human-ass-low-iteration'!M2:M21)</f>
        <v>0.25735643379707107</v>
      </c>
      <c r="Q7">
        <f>_xlfn.STDEV.S('human-ass-low-iteration'!A2:A21)</f>
        <v>13.99270791293959</v>
      </c>
    </row>
    <row r="8" spans="1:17" x14ac:dyDescent="0.25">
      <c r="A8" t="s">
        <v>4</v>
      </c>
      <c r="B8">
        <f>AVERAGE('grid-state'!A2:A21)</f>
        <v>268.392</v>
      </c>
      <c r="C8">
        <f>AVERAGE('grid-state'!B2:B21)</f>
        <v>0.14900000000000002</v>
      </c>
      <c r="D8">
        <f>AVERAGE('grid-state'!C2:C21)</f>
        <v>0.188</v>
      </c>
      <c r="G8" s="1">
        <f t="shared" si="0"/>
        <v>0.14900000000000002</v>
      </c>
      <c r="H8" s="1">
        <f>MEDIAN('grid-state'!B2:B21)</f>
        <v>0.10500000000000001</v>
      </c>
      <c r="I8" s="1">
        <f>_xlfn.STDEV.S('grid-state'!B2:B21)</f>
        <v>0.14878101180488118</v>
      </c>
      <c r="J8" s="4">
        <f>(G8-G2)/ABS(G2)%</f>
        <v>-58.953168044077124</v>
      </c>
      <c r="K8" s="1">
        <f>_xlfn.T.TEST('grid-state'!B2:B21,control!B2:B21,1,3)</f>
        <v>1.9175933059904118E-4</v>
      </c>
      <c r="M8">
        <f>AVERAGE('grid-state'!M2:M21)</f>
        <v>0.41046831955922869</v>
      </c>
      <c r="N8">
        <f>_xlfn.STDEV.S('grid-state'!M2:M21)</f>
        <v>0.4098650462944386</v>
      </c>
      <c r="Q8">
        <f>_xlfn.STDEV.S('grid-state'!A2:A21)</f>
        <v>69.356119344484014</v>
      </c>
    </row>
    <row r="9" spans="1:17" x14ac:dyDescent="0.25">
      <c r="A9" t="s">
        <v>14</v>
      </c>
      <c r="B9">
        <f>AVERAGE('large-grid-state'!A2:A21)</f>
        <v>403.76400000000001</v>
      </c>
      <c r="C9">
        <f>AVERAGE('large-grid-state'!B2:B21)</f>
        <v>0.15799999999999995</v>
      </c>
      <c r="D9">
        <f>AVERAGE('large-grid-state'!C2:C21)</f>
        <v>0.19199999999999998</v>
      </c>
      <c r="G9" s="1">
        <f t="shared" si="0"/>
        <v>0.15799999999999995</v>
      </c>
      <c r="H9" s="1">
        <f>MEDIAN('large-grid-state'!B2:B21)</f>
        <v>0.02</v>
      </c>
      <c r="I9" s="1">
        <f>_xlfn.STDEV.S('large-grid-state'!B2:B21)</f>
        <v>0.24108526554552834</v>
      </c>
      <c r="J9" s="4">
        <f>(G9-G2)/ABS(G2)%</f>
        <v>-56.473829201101942</v>
      </c>
      <c r="K9" s="1">
        <f>_xlfn.T.TEST('large-grid-state'!B2:B21,control!B2:B21,1,3)</f>
        <v>2.6554441228051773E-3</v>
      </c>
      <c r="M9">
        <f>AVERAGE('large-grid-state'!M2:M21)</f>
        <v>0.43526170798898073</v>
      </c>
      <c r="N9">
        <f>_xlfn.STDEV.S('large-grid-state'!M2:M21)</f>
        <v>0.66414673704002281</v>
      </c>
      <c r="Q9">
        <f>_xlfn.STDEV.S('large-grid-state'!A2:A21)</f>
        <v>194.89539157415234</v>
      </c>
    </row>
    <row r="10" spans="1:17" x14ac:dyDescent="0.25">
      <c r="A10" t="s">
        <v>10</v>
      </c>
      <c r="B10">
        <f>AVERAGE('small-grid-state'!A2:A21)</f>
        <v>186.46200000000002</v>
      </c>
      <c r="C10">
        <f>AVERAGE('small-grid-state'!B2:B21)</f>
        <v>0.11700000000000002</v>
      </c>
      <c r="D10">
        <f>AVERAGE('small-grid-state'!C2:C21)</f>
        <v>0.17150000000000001</v>
      </c>
      <c r="G10" s="1">
        <f t="shared" si="0"/>
        <v>0.11700000000000002</v>
      </c>
      <c r="H10" s="1">
        <f>MEDIAN('small-grid-state'!B2:B21)</f>
        <v>0.11499999999999999</v>
      </c>
      <c r="I10" s="1">
        <f>_xlfn.STDEV.S('small-grid-state'!B2:B21)</f>
        <v>8.1182056612218625E-2</v>
      </c>
      <c r="J10" s="4">
        <f>(G10-G2)/ABS(G2)%</f>
        <v>-67.7685950413223</v>
      </c>
      <c r="K10" s="1">
        <f>_xlfn.T.TEST('small-grid-state'!B2:B21,control!B2:B21,1,3)</f>
        <v>9.3841821866610146E-6</v>
      </c>
      <c r="M10">
        <f>AVERAGE('small-grid-state'!M2:M21)</f>
        <v>0.3223140495867769</v>
      </c>
      <c r="N10">
        <f>_xlfn.STDEV.S('small-grid-state'!M2:M21)</f>
        <v>0.22364202923476212</v>
      </c>
      <c r="Q10">
        <f>_xlfn.STDEV.S('small-grid-state'!A2:A21)</f>
        <v>35.931136709867076</v>
      </c>
    </row>
    <row r="11" spans="1:17" x14ac:dyDescent="0.25">
      <c r="A11" t="s">
        <v>36</v>
      </c>
      <c r="B11">
        <f>AVERAGE('small-grid-vector-state'!A2:A21)</f>
        <v>38.577000000000005</v>
      </c>
      <c r="C11">
        <f>AVERAGE('small-grid-vector-state'!B2:B21)</f>
        <v>0.17150000000000001</v>
      </c>
      <c r="D11">
        <f>AVERAGE('small-grid-vector-state'!C2:C21)</f>
        <v>0.20899999999999999</v>
      </c>
      <c r="G11" s="1">
        <f t="shared" si="0"/>
        <v>0.17150000000000001</v>
      </c>
      <c r="H11" s="1">
        <f>MEDIAN('small-grid-vector-state'!B2:B21)</f>
        <v>0.06</v>
      </c>
      <c r="I11" s="1">
        <f>_xlfn.STDEV.S('small-grid-vector-state'!B2:B21)</f>
        <v>0.18111569434160613</v>
      </c>
      <c r="J11" s="4">
        <f>(G11-G2)/ABS(G2)%</f>
        <v>-52.754820936639113</v>
      </c>
      <c r="K11" s="1">
        <f>_xlfn.T.TEST('small-grid-vector-state'!B2:B21,control!B2:B21,1,3)</f>
        <v>1.2758697461537078E-3</v>
      </c>
      <c r="M11">
        <f>AVERAGE('small-grid-vector-state'!M2:M21)</f>
        <v>0.47245179063360893</v>
      </c>
      <c r="N11">
        <f>_xlfn.STDEV.S('small-grid-vector-state'!M2:M21)</f>
        <v>0.49894130672618753</v>
      </c>
      <c r="Q11">
        <f>_xlfn.STDEV.S('small-grid-vector-state'!A2:A21)</f>
        <v>17.412126476138752</v>
      </c>
    </row>
    <row r="12" spans="1:17" x14ac:dyDescent="0.25">
      <c r="A12" t="s">
        <v>5</v>
      </c>
      <c r="B12">
        <f>AVERAGE('grid-vector-binned-state'!A2:A21)</f>
        <v>340.20899999999995</v>
      </c>
      <c r="C12">
        <f>AVERAGE('grid-vector-binned-state'!B2:B21)</f>
        <v>0.43800000000000006</v>
      </c>
      <c r="D12">
        <f>AVERAGE('grid-vector-binned-state'!C2:C21)</f>
        <v>0.28450000000000009</v>
      </c>
      <c r="G12" s="1">
        <f t="shared" si="0"/>
        <v>0.43800000000000006</v>
      </c>
      <c r="H12" s="1">
        <f>MEDIAN('grid-vector-binned-state'!B2:B21)</f>
        <v>0.48499999999999999</v>
      </c>
      <c r="I12" s="1">
        <f>_xlfn.STDEV.S('grid-vector-binned-state'!B2:B21)</f>
        <v>0.20877083885900996</v>
      </c>
      <c r="J12" s="4">
        <f>(G12-G2)/ABS(G2)%</f>
        <v>20.661157024793408</v>
      </c>
      <c r="K12" s="1">
        <f>_xlfn.T.TEST('grid-vector-binned-state'!B2:B21,control!B2:B21,1,3)</f>
        <v>0.12300664444858223</v>
      </c>
      <c r="M12">
        <f>AVERAGE('grid-vector-binned-state'!M2:M21)</f>
        <v>1.2066115702479341</v>
      </c>
      <c r="N12">
        <f>_xlfn.STDEV.S('grid-vector-binned-state'!M2:M21)</f>
        <v>0.57512627784851245</v>
      </c>
      <c r="Q12">
        <f>_xlfn.STDEV.S('grid-vector-binned-state'!A2:A21)</f>
        <v>68.583736517755383</v>
      </c>
    </row>
    <row r="13" spans="1:17" x14ac:dyDescent="0.25">
      <c r="A13" t="s">
        <v>8</v>
      </c>
      <c r="B13">
        <f>AVERAGE('vector-state'!A2:A21)</f>
        <v>44.288000000000011</v>
      </c>
      <c r="C13">
        <f>AVERAGE('vector-state'!B2:B21)</f>
        <v>0.21799999999999997</v>
      </c>
      <c r="D13">
        <f>AVERAGE('vector-state'!C2:C21)</f>
        <v>0.24300000000000002</v>
      </c>
      <c r="G13" s="1">
        <f t="shared" si="0"/>
        <v>0.21799999999999997</v>
      </c>
      <c r="H13" s="1">
        <f>MEDIAN('vector-state'!B2:B21)</f>
        <v>0.16500000000000001</v>
      </c>
      <c r="I13" s="1">
        <f>_xlfn.STDEV.S('vector-state'!B2:B21)</f>
        <v>0.22906216117947226</v>
      </c>
      <c r="J13" s="4">
        <f>(G13-G2)/ABS(G2)%</f>
        <v>-39.944903581267219</v>
      </c>
      <c r="K13" s="1">
        <f>_xlfn.T.TEST('vector-state'!B2:B21,control!B2:B21,1,3)</f>
        <v>1.8551952234590743E-2</v>
      </c>
      <c r="M13">
        <f>AVERAGE('vector-state'!M2:M21)</f>
        <v>0.6005509641873279</v>
      </c>
      <c r="N13">
        <f>_xlfn.STDEV.S('vector-state'!M2:M21)</f>
        <v>0.63102523740901439</v>
      </c>
      <c r="Q13">
        <f>_xlfn.STDEV.S('vector-state'!A2:A21)</f>
        <v>6.8890237640068461</v>
      </c>
    </row>
    <row r="14" spans="1:17" x14ac:dyDescent="0.25">
      <c r="A14" t="s">
        <v>9</v>
      </c>
      <c r="B14">
        <f>AVERAGE('vector-binned-state'!A2:A21)</f>
        <v>39.625999999999991</v>
      </c>
      <c r="C14">
        <f>AVERAGE('vector-binned-state'!B2:B21)</f>
        <v>0.19049999999999997</v>
      </c>
      <c r="D14">
        <f>AVERAGE('vector-binned-state'!C2:C21)</f>
        <v>0.2185</v>
      </c>
      <c r="G14" s="1">
        <f t="shared" si="0"/>
        <v>0.19049999999999997</v>
      </c>
      <c r="H14" s="1">
        <f>MEDIAN('vector-binned-state'!B2:B21)</f>
        <v>0.20500000000000002</v>
      </c>
      <c r="I14" s="1">
        <f>_xlfn.STDEV.S('vector-binned-state'!B2:B21)</f>
        <v>0.10190165537625509</v>
      </c>
      <c r="J14" s="4">
        <f>(G14-G2)/ABS(G2)%</f>
        <v>-47.520661157024797</v>
      </c>
      <c r="K14" s="1">
        <f>_xlfn.T.TEST('vector-binned-state'!B2:B21,control!B2:B21,1,3)</f>
        <v>7.1334805966550988E-4</v>
      </c>
      <c r="M14">
        <f>AVERAGE('vector-binned-state'!M2:M21)</f>
        <v>0.52479338842975198</v>
      </c>
      <c r="N14">
        <f>_xlfn.STDEV.S('vector-binned-state'!M2:M21)</f>
        <v>0.28072081370869179</v>
      </c>
      <c r="Q14">
        <f>_xlfn.STDEV.S('vector-binned-state'!A2:A21)</f>
        <v>19.773581897386034</v>
      </c>
    </row>
    <row r="15" spans="1:17" x14ac:dyDescent="0.25">
      <c r="A15" t="s">
        <v>18</v>
      </c>
      <c r="B15">
        <f>AVERAGE('predefined-seeker'!A2:A21)</f>
        <v>83.100000000000009</v>
      </c>
      <c r="C15">
        <f>AVERAGE('predefined-seeker'!B2:B21)</f>
        <v>2.8000000000000004E-2</v>
      </c>
      <c r="D15">
        <f>AVERAGE('predefined-seeker'!C2:C21)</f>
        <v>0.14700000000000002</v>
      </c>
      <c r="G15" s="1">
        <f t="shared" si="0"/>
        <v>2.8000000000000004E-2</v>
      </c>
      <c r="H15" s="1">
        <f>MEDIAN('predefined-seeker'!B2:B21)</f>
        <v>0.01</v>
      </c>
      <c r="I15" s="1">
        <f>_xlfn.STDEV.S('predefined-seeker'!B2:B21)</f>
        <v>4.3480183023872784E-2</v>
      </c>
      <c r="J15" s="4">
        <f>(G15-G2)/ABS(G2)%</f>
        <v>-92.28650137741046</v>
      </c>
      <c r="K15" s="1">
        <f>_xlfn.T.TEST('predefined-seeker'!B2:B21,control!B2:B21,1,3)</f>
        <v>1.0451238596057833E-7</v>
      </c>
      <c r="M15">
        <f>AVERAGE('predefined-seeker'!M2:M21)</f>
        <v>7.7134986225895347E-2</v>
      </c>
      <c r="N15">
        <f>_xlfn.STDEV.S('predefined-seeker'!M2:M21)</f>
        <v>0.11978011852306547</v>
      </c>
      <c r="Q15">
        <f>_xlfn.STDEV.S('predefined-seeker'!A2:A21)</f>
        <v>14.27410463594453</v>
      </c>
    </row>
    <row r="16" spans="1:17" x14ac:dyDescent="0.25">
      <c r="A16" t="s">
        <v>19</v>
      </c>
      <c r="B16">
        <f>AVERAGE('predefined-seeker-random-goal'!A2:A21)</f>
        <v>66.620999999999995</v>
      </c>
      <c r="C16">
        <f>AVERAGE('predefined-seeker-random-goal'!B2:B21)</f>
        <v>1.3000000000000003E-2</v>
      </c>
      <c r="D16">
        <f>AVERAGE('predefined-seeker-random-goal'!C2:C21)</f>
        <v>0.13199999999999998</v>
      </c>
      <c r="G16" s="1">
        <f t="shared" si="0"/>
        <v>1.3000000000000003E-2</v>
      </c>
      <c r="H16" s="1">
        <f>MEDIAN('predefined-seeker-random-goal'!B2:B21)</f>
        <v>0.01</v>
      </c>
      <c r="I16" s="1">
        <f>_xlfn.STDEV.S('predefined-seeker-random-goal'!B2:B21)</f>
        <v>1.625455401774498E-2</v>
      </c>
      <c r="J16" s="4">
        <f>(G16-G2)/ABS(G2)%</f>
        <v>-96.418732782369133</v>
      </c>
      <c r="K16" s="1">
        <f>_xlfn.T.TEST('predefined-seeker-random-goal'!B2:B21,control!B2:B21,1,3)</f>
        <v>6.760874028109956E-8</v>
      </c>
      <c r="M16">
        <f>AVERAGE('predefined-seeker-random-goal'!M2:M21)</f>
        <v>3.5812672176308541E-2</v>
      </c>
      <c r="N16">
        <f>_xlfn.STDEV.S('predefined-seeker-random-goal'!M2:M21)</f>
        <v>4.4778385723815373E-2</v>
      </c>
      <c r="Q16">
        <f>_xlfn.STDEV.S('predefined-seeker-random-goal'!A2:A21)</f>
        <v>16.996130488406699</v>
      </c>
    </row>
    <row r="17" spans="1:17" x14ac:dyDescent="0.25">
      <c r="A17" t="s">
        <v>13</v>
      </c>
      <c r="B17">
        <f>AVERAGE('random-seeker-random-goal'!A2:A21)</f>
        <v>305.28800000000001</v>
      </c>
      <c r="C17">
        <f>AVERAGE('random-seeker-random-goal'!B2:B21)</f>
        <v>0.17899999999999999</v>
      </c>
      <c r="D17">
        <f>AVERAGE('random-seeker-random-goal'!C2:C21)</f>
        <v>0.20650000000000004</v>
      </c>
      <c r="G17" s="1">
        <f t="shared" si="0"/>
        <v>0.17899999999999999</v>
      </c>
      <c r="H17" s="1">
        <f>MEDIAN('random-seeker-random-goal'!B2:B21)</f>
        <v>0.16</v>
      </c>
      <c r="I17" s="1">
        <f>_xlfn.STDEV.S('random-seeker-random-goal'!B2:B21)</f>
        <v>0.11035349897870074</v>
      </c>
      <c r="J17" s="4">
        <f>(G17-G2)/ABS(G2)%</f>
        <v>-50.688705234159777</v>
      </c>
      <c r="K17" s="1">
        <f>_xlfn.T.TEST('random-seeker-random-goal'!B2:B21,control!B2:B21,1,3)</f>
        <v>4.3603506648305347E-4</v>
      </c>
      <c r="M17">
        <f>AVERAGE('random-seeker-random-goal'!M2:M21)</f>
        <v>0.4931129476584023</v>
      </c>
      <c r="N17">
        <f>_xlfn.STDEV.S('random-seeker-random-goal'!M2:M21)</f>
        <v>0.30400412941790811</v>
      </c>
      <c r="Q17">
        <f>_xlfn.STDEV.S('random-seeker-random-goal'!A2:A21)</f>
        <v>88.299762865509777</v>
      </c>
    </row>
    <row r="18" spans="1:17" x14ac:dyDescent="0.25">
      <c r="A18" t="s">
        <v>6</v>
      </c>
      <c r="B18">
        <f>AVERAGE('high-iteration'!A2:A21)</f>
        <v>501.79899999999986</v>
      </c>
      <c r="C18">
        <f>AVERAGE('high-iteration'!B2:B21)</f>
        <v>0.57000000000000006</v>
      </c>
      <c r="D18">
        <f>AVERAGE('high-iteration'!C2:C21)</f>
        <v>0.34200000000000008</v>
      </c>
      <c r="G18" s="1">
        <f t="shared" si="0"/>
        <v>0.57000000000000006</v>
      </c>
      <c r="H18" s="1">
        <f>MEDIAN('high-iteration'!B2:B21)</f>
        <v>0.54500000000000004</v>
      </c>
      <c r="I18" s="1">
        <f>_xlfn.STDEV.S('high-iteration'!B2:B21)</f>
        <v>0.22116914222758149</v>
      </c>
      <c r="J18" s="4">
        <f>(G18-G2)/ABS(G2)%</f>
        <v>57.024793388429771</v>
      </c>
      <c r="K18" s="1">
        <f>_xlfn.T.TEST('high-iteration'!B2:B21,control!B2:B21,1,3)</f>
        <v>1.6031269778452901E-3</v>
      </c>
      <c r="M18">
        <f>AVERAGE('high-iteration'!M2:M21)</f>
        <v>1.5702479338842972</v>
      </c>
      <c r="N18">
        <f>_xlfn.STDEV.S('high-iteration'!M2:M21)</f>
        <v>0.60928138354705774</v>
      </c>
      <c r="Q18">
        <f>_xlfn.STDEV.S('high-iteration'!A2:A21)</f>
        <v>96.914583058865873</v>
      </c>
    </row>
    <row r="19" spans="1:17" x14ac:dyDescent="0.25">
      <c r="A19" t="s">
        <v>22</v>
      </c>
      <c r="B19">
        <f>AVERAGE('very-high-iteration'!A2:A21)</f>
        <v>406.03649999999999</v>
      </c>
      <c r="C19">
        <f>AVERAGE('very-high-iteration'!B2:B21)</f>
        <v>0.38350000000000001</v>
      </c>
      <c r="D19">
        <f>AVERAGE('very-high-iteration'!C2:C21)</f>
        <v>0.26949999999999996</v>
      </c>
      <c r="G19" s="1">
        <f t="shared" si="0"/>
        <v>0.38350000000000001</v>
      </c>
      <c r="H19" s="1">
        <f>MEDIAN('very-high-iteration'!B2:B21)</f>
        <v>0.375</v>
      </c>
      <c r="I19" s="1">
        <f>_xlfn.STDEV.S('very-high-iteration'!B2:B21)</f>
        <v>0.19339828007725954</v>
      </c>
      <c r="J19" s="4">
        <f>(G19-G2)/ABS(G2)%</f>
        <v>5.6473829201101982</v>
      </c>
      <c r="K19" s="1">
        <f>_xlfn.T.TEST('very-high-iteration'!B2:B21,control!B2:B21,1,3)</f>
        <v>0.3696845723793209</v>
      </c>
      <c r="M19">
        <f>AVERAGE('very-high-iteration'!M2:M21)</f>
        <v>1.056473829201102</v>
      </c>
      <c r="N19">
        <f>_xlfn.STDEV.S('very-high-iteration'!M2:M21)</f>
        <v>0.53277763106683063</v>
      </c>
      <c r="Q19">
        <f>_xlfn.STDEV.S('very-high-iteration'!A2:A21)</f>
        <v>73.487334195120013</v>
      </c>
    </row>
    <row r="20" spans="1:17" x14ac:dyDescent="0.25">
      <c r="A20" t="s">
        <v>37</v>
      </c>
      <c r="B20">
        <f>AVERAGE('very-high-iteration-full-batch'!A2:A21)</f>
        <v>1065.9464999999998</v>
      </c>
      <c r="C20">
        <f>AVERAGE('very-high-iteration-full-batch'!B2:B21)</f>
        <v>0.36799999999999999</v>
      </c>
      <c r="D20">
        <f>AVERAGE('very-high-iteration-full-batch'!C2:C21)</f>
        <v>0.26350000000000001</v>
      </c>
      <c r="G20" s="1">
        <f t="shared" si="0"/>
        <v>0.36799999999999999</v>
      </c>
      <c r="H20" s="1">
        <f>MEDIAN('very-high-iteration-full-batch'!B2:B21)</f>
        <v>0.38500000000000001</v>
      </c>
      <c r="I20" s="1">
        <f>_xlfn.STDEV.S('very-high-iteration-full-batch'!B2:B21)</f>
        <v>0.13004452678743719</v>
      </c>
      <c r="J20" s="4">
        <f>(G20-G2)/ABS(G2)%</f>
        <v>1.3774104683195605</v>
      </c>
      <c r="K20" s="1">
        <f>_xlfn.T.TEST('very-high-iteration-full-batch'!B2:B21,control!B2:B21,1,3)</f>
        <v>0.46207995810270525</v>
      </c>
      <c r="M20">
        <f>AVERAGE('very-high-iteration-full-batch'!M2:M21)</f>
        <v>1.0137741046831956</v>
      </c>
      <c r="N20">
        <f>_xlfn.STDEV.S('very-high-iteration-full-batch'!M2:M21)</f>
        <v>0.35824938508935805</v>
      </c>
      <c r="Q20">
        <f>_xlfn.STDEV.S('very-high-iteration-full-batch'!A2:A21)</f>
        <v>311.37264047194958</v>
      </c>
    </row>
    <row r="21" spans="1:17" x14ac:dyDescent="0.25">
      <c r="A21" t="s">
        <v>21</v>
      </c>
      <c r="B21">
        <f>AVERAGE('small-batchsize'!A2:A21)</f>
        <v>80.69550000000001</v>
      </c>
      <c r="C21">
        <f>AVERAGE('small-batchsize'!B2:B21)</f>
        <v>0.17050000000000001</v>
      </c>
      <c r="D21">
        <f>AVERAGE('small-batchsize'!C2:C21)</f>
        <v>0.20400000000000001</v>
      </c>
      <c r="G21" s="1">
        <f t="shared" si="0"/>
        <v>0.17050000000000001</v>
      </c>
      <c r="H21" s="1">
        <f>MEDIAN('small-batchsize'!B2:B21)</f>
        <v>0.15500000000000003</v>
      </c>
      <c r="I21" s="1">
        <f>_xlfn.STDEV.S('small-batchsize'!B2:B21)</f>
        <v>0.14809225431964251</v>
      </c>
      <c r="J21" s="4">
        <f>(G21-G2)/ABS(G2)%</f>
        <v>-53.030303030303024</v>
      </c>
      <c r="K21" s="1">
        <f>_xlfn.T.TEST('small-batchsize'!B2:B21,control!B2:B21,1,3)</f>
        <v>5.7930889388818272E-4</v>
      </c>
      <c r="M21">
        <f>AVERAGE('small-batchsize'!M2:M21)</f>
        <v>0.46969696969696972</v>
      </c>
      <c r="N21">
        <f>_xlfn.STDEV.S('small-batchsize'!M2:M21)</f>
        <v>0.40796764275383607</v>
      </c>
      <c r="Q21">
        <f>_xlfn.STDEV.S('small-batchsize'!A2:A21)</f>
        <v>18.136830070329271</v>
      </c>
    </row>
    <row r="22" spans="1:17" x14ac:dyDescent="0.25">
      <c r="A22" t="s">
        <v>11</v>
      </c>
      <c r="B22">
        <f>AVERAGE('small-batchsize-small-poolsize'!A2:A21)</f>
        <v>84.711500000000001</v>
      </c>
      <c r="C22">
        <f>AVERAGE('small-batchsize-small-poolsize'!B2:B21)</f>
        <v>7.6500000000000012E-2</v>
      </c>
      <c r="D22">
        <f>AVERAGE('small-batchsize-small-poolsize'!C2:C21)</f>
        <v>0.16900000000000001</v>
      </c>
      <c r="G22" s="1">
        <f t="shared" si="0"/>
        <v>7.6500000000000012E-2</v>
      </c>
      <c r="H22" s="1">
        <f>MEDIAN('small-batchsize-small-poolsize'!B2:B21)</f>
        <v>0.03</v>
      </c>
      <c r="I22" s="1">
        <f>_xlfn.STDEV.S('small-batchsize-small-poolsize'!B2:B21)</f>
        <v>7.7681874875742588E-2</v>
      </c>
      <c r="J22" s="4">
        <f>(G22-G2)/ABS(G2)%</f>
        <v>-78.925619834710744</v>
      </c>
      <c r="K22" s="1">
        <f>_xlfn.T.TEST('small-batchsize-small-poolsize'!B2:B21,control!B2:B21,1,3)</f>
        <v>1.005864801433401E-6</v>
      </c>
      <c r="M22">
        <f>AVERAGE('small-batchsize-small-poolsize'!M2:M21)</f>
        <v>0.21074380165289258</v>
      </c>
      <c r="N22">
        <f>_xlfn.STDEV.S('small-batchsize-small-poolsize'!M2:M21)</f>
        <v>0.213999655305076</v>
      </c>
      <c r="Q22">
        <f>_xlfn.STDEV.S('small-batchsize-small-poolsize'!A2:A21)</f>
        <v>21.935077477578389</v>
      </c>
    </row>
    <row r="23" spans="1:17" x14ac:dyDescent="0.25">
      <c r="A23" t="s">
        <v>38</v>
      </c>
      <c r="B23">
        <f>AVERAGE('large-poolsize'!A2:A21)</f>
        <v>114.95500000000001</v>
      </c>
      <c r="C23">
        <f>AVERAGE('large-poolsize'!B2:B21)</f>
        <v>0.19900000000000001</v>
      </c>
      <c r="D23">
        <f>AVERAGE('large-poolsize'!C2:C21)</f>
        <v>0.21700000000000008</v>
      </c>
      <c r="G23" s="1">
        <f t="shared" si="0"/>
        <v>0.19900000000000001</v>
      </c>
      <c r="H23" s="1">
        <f>MEDIAN('large-poolsize'!B2:B21)</f>
        <v>0.20500000000000002</v>
      </c>
      <c r="I23" s="1">
        <f>_xlfn.STDEV.S('large-poolsize'!B2:B21)</f>
        <v>0.15572918463591978</v>
      </c>
      <c r="J23" s="4">
        <f>(G23-G2)/ABS(G2)%</f>
        <v>-45.179063360881536</v>
      </c>
      <c r="K23" s="1">
        <f>_xlfn.T.TEST('large-poolsize'!B2:B21,control!B2:B21,1,3)</f>
        <v>2.7435920157743523E-3</v>
      </c>
      <c r="M23">
        <f>AVERAGE('large-poolsize'!M2:M21)</f>
        <v>0.54820936639118467</v>
      </c>
      <c r="N23">
        <f>_xlfn.STDEV.S('large-poolsize'!M2:M21)</f>
        <v>0.4290060182807709</v>
      </c>
      <c r="Q23">
        <f>_xlfn.STDEV.S('large-poolsize'!A2:A21)</f>
        <v>42.549980456424407</v>
      </c>
    </row>
    <row r="24" spans="1:17" x14ac:dyDescent="0.25">
      <c r="A24" t="s">
        <v>39</v>
      </c>
      <c r="B24">
        <f>AVERAGE('large-batchsize-large-poolsize'!A2:A21)</f>
        <v>163.61899999999997</v>
      </c>
      <c r="C24">
        <f>AVERAGE('large-batchsize-large-poolsize'!B2:B21)</f>
        <v>0.29300000000000004</v>
      </c>
      <c r="D24">
        <f>AVERAGE('large-batchsize-large-poolsize'!C2:C21)</f>
        <v>0.25700000000000001</v>
      </c>
      <c r="G24" s="1">
        <f t="shared" si="0"/>
        <v>0.29300000000000004</v>
      </c>
      <c r="H24" s="1">
        <f>MEDIAN('large-batchsize-large-poolsize'!B2:B21)</f>
        <v>0.3</v>
      </c>
      <c r="I24" s="1">
        <f>_xlfn.STDEV.S('large-batchsize-large-poolsize'!B2:B21)</f>
        <v>0.16322731969476434</v>
      </c>
      <c r="J24" s="4">
        <f>(G24-G2)/ABS(G2)%</f>
        <v>-19.283746556473815</v>
      </c>
      <c r="K24" s="1">
        <f>_xlfn.T.TEST('large-batchsize-large-poolsize'!B2:B21,control!B2:B21,1,3)</f>
        <v>0.11199966233190056</v>
      </c>
      <c r="M24">
        <f>AVERAGE('large-batchsize-large-poolsize'!M2:M21)</f>
        <v>0.80716253443526154</v>
      </c>
      <c r="N24">
        <f>_xlfn.STDEV.S('large-batchsize-large-poolsize'!M2:M21)</f>
        <v>0.44966203772662428</v>
      </c>
      <c r="Q24">
        <f>_xlfn.STDEV.S('large-batchsize-large-poolsize'!A2:A21)</f>
        <v>64.306462874025584</v>
      </c>
    </row>
    <row r="25" spans="1:17" x14ac:dyDescent="0.25">
      <c r="A25" t="s">
        <v>17</v>
      </c>
      <c r="B25">
        <f>AVERAGE('low-stride'!A2:A21)</f>
        <v>878.274</v>
      </c>
      <c r="C25">
        <f>AVERAGE('low-stride'!B2:B21)</f>
        <v>0.29199999999999993</v>
      </c>
      <c r="D25">
        <f>AVERAGE('low-stride'!C2:C21)</f>
        <v>0.25199999999999995</v>
      </c>
      <c r="G25" s="1">
        <f t="shared" si="0"/>
        <v>0.29199999999999993</v>
      </c>
      <c r="H25" s="1">
        <f>MEDIAN('low-stride'!B2:B21)</f>
        <v>0.26</v>
      </c>
      <c r="I25" s="1">
        <f>_xlfn.STDEV.S('low-stride'!B2:B21)</f>
        <v>0.27318010253503577</v>
      </c>
      <c r="J25" s="4">
        <f>(G25-G2)/ABS(G2)%</f>
        <v>-19.559228650137758</v>
      </c>
      <c r="K25" s="1">
        <f>_xlfn.T.TEST('low-stride'!B2:B21,control!B2:B21,1,3)</f>
        <v>0.174756116084268</v>
      </c>
      <c r="M25">
        <f>AVERAGE('low-stride'!M2:M21)</f>
        <v>0.8044077134986225</v>
      </c>
      <c r="N25">
        <f>_xlfn.STDEV.S('low-stride'!M2:M21)</f>
        <v>0.75256226593673781</v>
      </c>
      <c r="Q25">
        <f>_xlfn.STDEV.S('low-stride'!A2:A21)</f>
        <v>287.75755439166824</v>
      </c>
    </row>
    <row r="26" spans="1:17" x14ac:dyDescent="0.25">
      <c r="A26" t="s">
        <v>34</v>
      </c>
      <c r="B26">
        <f>AVERAGE('random-baseline'!A2:A21)</f>
        <v>0.16</v>
      </c>
      <c r="C26">
        <f>AVERAGE('random-baseline'!B2:B21)</f>
        <v>4.650000000000002E-2</v>
      </c>
      <c r="D26">
        <f>AVERAGE('random-baseline'!C2:C21)</f>
        <v>0.16350000000000001</v>
      </c>
      <c r="G26" s="1">
        <f t="shared" si="0"/>
        <v>4.650000000000002E-2</v>
      </c>
      <c r="H26" s="1">
        <f>MEDIAN('random-baseline'!B2:B21)</f>
        <v>0.05</v>
      </c>
      <c r="I26" s="1">
        <f>_xlfn.STDEV.S('random-baseline'!B2:B21)</f>
        <v>1.0399898784932511E-2</v>
      </c>
      <c r="J26" s="4">
        <f>(G26-G2)/ABS(G2)%</f>
        <v>-87.190082644628092</v>
      </c>
      <c r="K26" s="1">
        <f>_xlfn.T.TEST('random-baseline'!B2:B21,control!B2:B21,1,3)</f>
        <v>3.0353724272152038E-7</v>
      </c>
      <c r="M26">
        <f>AVERAGE('random-baseline'!M2:M21)</f>
        <v>0.128099173553719</v>
      </c>
      <c r="N26">
        <f>_xlfn.STDEV.S('random-baseline'!M2:M21)</f>
        <v>2.8649858911660032E-2</v>
      </c>
      <c r="Q26">
        <f>_xlfn.STDEV.S('random-baseline'!A2:A21)</f>
        <v>0.14253346790731011</v>
      </c>
    </row>
  </sheetData>
  <conditionalFormatting sqref="K2:K26">
    <cfRule type="cellIs" dxfId="1" priority="3" operator="lessThan">
      <formula>0.05</formula>
    </cfRule>
    <cfRule type="cellIs" dxfId="0" priority="4" operator="lessThan">
      <formula>0.05</formula>
    </cfRule>
  </conditionalFormatting>
  <conditionalFormatting sqref="J2:J2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0" orientation="portrait" horizontalDpi="0" verticalDpi="0" copie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27"/>
  <dimension ref="A1:Z30"/>
  <sheetViews>
    <sheetView tabSelected="1" topLeftCell="E1" workbookViewId="0">
      <selection activeCell="K1" sqref="K1:Z17"/>
    </sheetView>
  </sheetViews>
  <sheetFormatPr defaultRowHeight="14.4" x14ac:dyDescent="0.3"/>
  <cols>
    <col min="1" max="1" width="27.33203125" bestFit="1" customWidth="1"/>
  </cols>
  <sheetData>
    <row r="1" spans="1:26" x14ac:dyDescent="0.3">
      <c r="B1" t="s">
        <v>34</v>
      </c>
      <c r="C1" t="s">
        <v>17</v>
      </c>
      <c r="D1" t="s">
        <v>39</v>
      </c>
      <c r="E1" t="s">
        <v>38</v>
      </c>
      <c r="F1" t="s">
        <v>11</v>
      </c>
      <c r="G1" t="s">
        <v>21</v>
      </c>
      <c r="H1" t="s">
        <v>37</v>
      </c>
      <c r="I1" t="s">
        <v>22</v>
      </c>
      <c r="J1" t="s">
        <v>6</v>
      </c>
      <c r="K1" t="s">
        <v>13</v>
      </c>
      <c r="L1" t="s">
        <v>19</v>
      </c>
      <c r="M1" t="s">
        <v>18</v>
      </c>
      <c r="N1" t="s">
        <v>9</v>
      </c>
      <c r="O1" t="s">
        <v>8</v>
      </c>
      <c r="P1" t="s">
        <v>5</v>
      </c>
      <c r="Q1" t="s">
        <v>36</v>
      </c>
      <c r="R1" t="s">
        <v>10</v>
      </c>
      <c r="S1" t="s">
        <v>14</v>
      </c>
      <c r="T1" t="s">
        <v>4</v>
      </c>
      <c r="U1" t="s">
        <v>12</v>
      </c>
      <c r="V1" t="s">
        <v>7</v>
      </c>
      <c r="W1" t="s">
        <v>16</v>
      </c>
      <c r="X1" t="s">
        <v>20</v>
      </c>
      <c r="Y1" t="s">
        <v>15</v>
      </c>
      <c r="Z1" t="s">
        <v>3</v>
      </c>
    </row>
    <row r="2" spans="1:26" x14ac:dyDescent="0.3">
      <c r="A2" t="s">
        <v>3</v>
      </c>
      <c r="B2" s="1">
        <f>_xlfn.T.TEST('random-baseline'!B2:B21,control!B2:B21,1,3)</f>
        <v>3.0353724272152038E-7</v>
      </c>
      <c r="C2" s="1">
        <f>_xlfn.T.TEST('low-stride'!B2:B21,control!B2:B21,1,3)</f>
        <v>0.174756116084268</v>
      </c>
      <c r="D2" s="1">
        <f>_xlfn.T.TEST('large-batchsize-large-poolsize'!B2:B21,control!B2:B21,1,3)</f>
        <v>0.11199966233190056</v>
      </c>
      <c r="E2" s="1">
        <f>_xlfn.T.TEST('large-poolsize'!B2:B21,control!B2:B21,1,3)</f>
        <v>2.7435920157743523E-3</v>
      </c>
      <c r="F2" s="1">
        <f>_xlfn.T.TEST('small-batchsize-small-poolsize'!B2:B21,control!B2:B21,1,3)</f>
        <v>1.005864801433401E-6</v>
      </c>
      <c r="G2" s="1">
        <f>_xlfn.T.TEST('small-batchsize'!B2:B21,control!B2:B21,1,3)</f>
        <v>5.7930889388818272E-4</v>
      </c>
      <c r="H2" s="1">
        <f>_xlfn.T.TEST('very-high-iteration-full-batch'!B2:B21,control!B2:B21,1,3)</f>
        <v>0.46207995810270525</v>
      </c>
      <c r="I2" s="1">
        <f>_xlfn.T.TEST('very-high-iteration'!B2:B21,control!B2:B21,1,3)</f>
        <v>0.3696845723793209</v>
      </c>
      <c r="J2" s="1">
        <f>_xlfn.T.TEST('high-iteration'!B2:B21,control!B2:B21,1,3)</f>
        <v>1.6031269778452901E-3</v>
      </c>
      <c r="K2" s="1">
        <f>_xlfn.T.TEST('random-seeker-random-goal'!B2:B21,control!B2:B21,1,3)</f>
        <v>4.3603506648305347E-4</v>
      </c>
      <c r="L2" s="1">
        <f>_xlfn.T.TEST('predefined-seeker-random-goal'!B2:B21,control!B2:B21,1,3)</f>
        <v>6.760874028109956E-8</v>
      </c>
      <c r="M2" s="1">
        <f>_xlfn.T.TEST('predefined-seeker'!B2:B21,control!B2:B21,1,3)</f>
        <v>1.0451238596057833E-7</v>
      </c>
      <c r="N2" s="1">
        <f>_xlfn.T.TEST('vector-binned-state'!B2:B21,control!B2:B21,1,3)</f>
        <v>7.1334805966550988E-4</v>
      </c>
      <c r="O2" s="1">
        <f>_xlfn.T.TEST('vector-state'!B2:B21,control!B2:B21,1,3)</f>
        <v>1.8551952234590743E-2</v>
      </c>
      <c r="P2" s="1">
        <f>_xlfn.T.TEST('grid-vector-binned-state'!B2:B21,control!B2:B21,1,3)</f>
        <v>0.12300664444858223</v>
      </c>
      <c r="Q2" s="1">
        <f>_xlfn.T.TEST('small-grid-vector-state'!B2:B21,control!B2:B21,1,3)</f>
        <v>1.2758697461537078E-3</v>
      </c>
      <c r="R2" s="1">
        <f>_xlfn.T.TEST('small-grid-state'!B2:B21,control!B2:B21,1,3)</f>
        <v>9.3841821866610146E-6</v>
      </c>
      <c r="S2" s="1">
        <f>_xlfn.T.TEST('large-grid-state'!B2:B21,control!B2:B21,1,3)</f>
        <v>2.6554441228051773E-3</v>
      </c>
      <c r="T2" s="1">
        <f>_xlfn.T.TEST('grid-state'!B2:B21,control!B2:B21,1,3)</f>
        <v>1.9175933059904118E-4</v>
      </c>
      <c r="U2" s="1">
        <f>_xlfn.T.TEST('human-ass-low-iteration'!B2:B21,control!B2:B21,1,3)</f>
        <v>1.8577372731920966E-5</v>
      </c>
      <c r="V2" s="1">
        <f>_xlfn.T.TEST('human-ass'!B2:B21,control!B2:B21,1,3)</f>
        <v>5.6239940281825112E-3</v>
      </c>
      <c r="W2" s="1">
        <f>_xlfn.T.TEST('low-iteration-prio-sweep'!B2:B21,control!B2:B21,1,3)</f>
        <v>6.9023222933281938E-8</v>
      </c>
      <c r="X2" s="1">
        <f>_xlfn.T.TEST('prio-sweep'!B2:B21,control!B2:B21,1,3)</f>
        <v>7.1798488814735596E-8</v>
      </c>
      <c r="Y2" s="1">
        <f>_xlfn.T.TEST('low-iteration'!B2:B21,control!B2:B21,1,3)</f>
        <v>3.5784730207366448E-4</v>
      </c>
      <c r="Z2" s="1">
        <f>_xlfn.T.TEST(control!B2:B21,control!B2:B21,1,3)</f>
        <v>0.5</v>
      </c>
    </row>
    <row r="3" spans="1:26" x14ac:dyDescent="0.3">
      <c r="A3" t="s">
        <v>15</v>
      </c>
      <c r="B3" s="1">
        <f>_xlfn.T.TEST('random-baseline'!B2:B21,'low-iteration'!B2:B21,1,3)</f>
        <v>1.4883893935015574E-3</v>
      </c>
      <c r="C3" s="1">
        <f>_xlfn.T.TEST('low-stride'!B2:B21,'low-iteration'!B2:B21,1,3)</f>
        <v>3.4447525002557482E-2</v>
      </c>
      <c r="D3" s="1">
        <f>_xlfn.T.TEST('large-batchsize-large-poolsize'!B2:B21,'low-iteration'!B2:B21,1,3)</f>
        <v>5.4787180461102194E-3</v>
      </c>
      <c r="E3" s="1">
        <f>_xlfn.T.TEST('large-poolsize'!B2:B21,'low-iteration'!B2:B21,1,3)</f>
        <v>0.21512169642752643</v>
      </c>
      <c r="F3" s="1">
        <f>_xlfn.T.TEST('small-batchsize-small-poolsize'!B2:B21,'low-iteration'!B2:B21,1,3)</f>
        <v>1.6948597199711909E-2</v>
      </c>
      <c r="G3" s="1">
        <f>_xlfn.T.TEST('small-batchsize'!B2:B21,'low-iteration'!B2:B21,1,3)</f>
        <v>0.416449304194076</v>
      </c>
      <c r="H3" s="1">
        <f>_xlfn.T.TEST('very-high-iteration-full-batch'!B2:B21,'low-iteration'!B2:B21,1,3)</f>
        <v>1.8533746060321405E-5</v>
      </c>
      <c r="I3" s="1">
        <f>_xlfn.T.TEST('very-high-iteration'!B2:B21,'low-iteration'!B2:B21,1,3)</f>
        <v>1.2086263558038743E-4</v>
      </c>
      <c r="J3" s="1">
        <f>_xlfn.T.TEST('high-iteration'!B2:B21,'low-iteration'!B2:B21,1,3)</f>
        <v>3.7221319574654004E-8</v>
      </c>
      <c r="K3" s="1">
        <f>_xlfn.T.TEST('random-seeker-random-goal'!B2:B21,'low-iteration'!B2:B21,1,3)</f>
        <v>0.32952139528859914</v>
      </c>
      <c r="L3" s="1">
        <f>_xlfn.T.TEST('predefined-seeker-random-goal'!B2:B21,'low-iteration'!B2:B21,1,3)</f>
        <v>1.5222861548676596E-4</v>
      </c>
      <c r="M3" s="1">
        <f>_xlfn.T.TEST('predefined-seeker'!B2:B21,'low-iteration'!B2:B21,1,3)</f>
        <v>4.8102401543235741E-4</v>
      </c>
      <c r="N3" s="1">
        <f>_xlfn.T.TEST('vector-binned-state'!B2:B21,'low-iteration'!B2:B21,1,3)</f>
        <v>0.23187977787186642</v>
      </c>
      <c r="O3" s="1">
        <f>_xlfn.T.TEST('vector-state'!B2:B21,'low-iteration'!B2:B21,1,3)</f>
        <v>0.17708118130700395</v>
      </c>
      <c r="P3" s="1">
        <f>_xlfn.T.TEST('grid-vector-binned-state'!B2:B21,'low-iteration'!B2:B21,1,3)</f>
        <v>1.3785875745811229E-5</v>
      </c>
      <c r="Q3" s="1">
        <f>_xlfn.T.TEST('small-grid-vector-state'!B2:B21,'low-iteration'!B2:B21,1,3)</f>
        <v>0.41764467403581557</v>
      </c>
      <c r="R3" s="1">
        <f>_xlfn.T.TEST('small-grid-state'!B2:B21,'low-iteration'!B2:B21,1,3)</f>
        <v>0.13117358434878373</v>
      </c>
      <c r="S3" s="1">
        <f>_xlfn.T.TEST('large-grid-state'!B2:B21,'low-iteration'!B2:B21,1,3)</f>
        <v>0.48440751962352646</v>
      </c>
      <c r="T3" s="1">
        <f>_xlfn.T.TEST('grid-state'!B2:B21,'low-iteration'!B2:B21,1,3)</f>
        <v>0.40436958144947283</v>
      </c>
      <c r="U3" s="1">
        <f>_xlfn.T.TEST('human-ass-low-iteration'!B2:B21,'low-iteration'!B2:B21,1,3)</f>
        <v>0.20100436720453746</v>
      </c>
      <c r="V3" s="1">
        <f>_xlfn.T.TEST('human-ass'!B2:B21,'low-iteration'!B2:B21,1,3)</f>
        <v>3.1848605213590026E-7</v>
      </c>
      <c r="W3" s="1">
        <f>_xlfn.T.TEST('low-iteration-prio-sweep'!B2:B21,'low-iteration'!B2:B21,1,3)</f>
        <v>1.5154225633611849E-4</v>
      </c>
      <c r="X3" s="1">
        <f>_xlfn.T.TEST('prio-sweep'!B2:B21,'low-iteration'!B2:B21,1,3)</f>
        <v>1.7576800700184935E-4</v>
      </c>
      <c r="Y3" s="1">
        <f>_xlfn.T.TEST('low-iteration'!B2:B21,'low-iteration'!B2:B21,1,3)</f>
        <v>0.5</v>
      </c>
      <c r="Z3" s="1"/>
    </row>
    <row r="4" spans="1:26" x14ac:dyDescent="0.3">
      <c r="A4" t="s">
        <v>20</v>
      </c>
      <c r="B4" s="1">
        <f>_xlfn.T.TEST('random-baseline'!B2:B21,'prio-sweep'!B2:B21,1,3)</f>
        <v>5.8177256564709896E-7</v>
      </c>
      <c r="C4" s="1">
        <f>_xlfn.T.TEST('low-stride'!B2:B21,'prio-sweep'!B2:B21,1,3)</f>
        <v>1.1371418502212546E-4</v>
      </c>
      <c r="D4" s="1">
        <f>_xlfn.T.TEST('large-batchsize-large-poolsize'!B2:B21,'prio-sweep'!B2:B21,1,3)</f>
        <v>1.5830949211395614E-7</v>
      </c>
      <c r="E4" s="1">
        <f>_xlfn.T.TEST('large-poolsize'!B2:B21,'prio-sweep'!B2:B21,1,3)</f>
        <v>2.1003522031356116E-5</v>
      </c>
      <c r="F4" s="1">
        <f>_xlfn.T.TEST('small-batchsize-small-poolsize'!B2:B21,'prio-sweep'!B2:B21,1,3)</f>
        <v>1.2356604992827204E-3</v>
      </c>
      <c r="G4" s="1">
        <f>_xlfn.T.TEST('small-batchsize'!B2:B21,'prio-sweep'!B2:B21,1,3)</f>
        <v>7.9450015559166036E-5</v>
      </c>
      <c r="H4" s="1">
        <f>_xlfn.T.TEST('very-high-iteration-full-batch'!B2:B21,'prio-sweep'!B2:B21,1,3)</f>
        <v>7.1646355283021296E-11</v>
      </c>
      <c r="I4" s="1">
        <f>_xlfn.T.TEST('very-high-iteration'!B2:B21,'prio-sweep'!B2:B21,1,3)</f>
        <v>2.9736073528650864E-8</v>
      </c>
      <c r="J4" s="1">
        <f>_xlfn.T.TEST('high-iteration'!B2:B21,'prio-sweep'!B2:B21,1,3)</f>
        <v>3.5228644462124466E-10</v>
      </c>
      <c r="K4" s="1">
        <f>_xlfn.T.TEST('random-seeker-random-goal'!B2:B21,'prio-sweep'!B2:B21,1,3)</f>
        <v>1.0584513735559564E-6</v>
      </c>
      <c r="L4" s="1">
        <f>_xlfn.T.TEST('predefined-seeker-random-goal'!B2:B21,'prio-sweep'!B2:B21,1,3)</f>
        <v>0.36679222130857569</v>
      </c>
      <c r="M4" s="1">
        <f>_xlfn.T.TEST('predefined-seeker'!B2:B21,'prio-sweep'!B2:B21,1,3)</f>
        <v>0.11827629055577518</v>
      </c>
      <c r="N4" s="1">
        <f>_xlfn.T.TEST('vector-binned-state'!B2:B21,'prio-sweep'!B2:B21,1,3)</f>
        <v>1.1884919827597913E-7</v>
      </c>
      <c r="O4" s="1">
        <f>_xlfn.T.TEST('vector-state'!B2:B21,'prio-sweep'!B2:B21,1,3)</f>
        <v>4.2085340932278742E-4</v>
      </c>
      <c r="P4" s="1">
        <f>_xlfn.T.TEST('grid-vector-binned-state'!B2:B21,'prio-sweep'!B2:B21,1,3)</f>
        <v>1.1518137613802713E-8</v>
      </c>
      <c r="Q4" s="1">
        <f>_xlfn.T.TEST('small-grid-vector-state'!B2:B21,'prio-sweep'!B2:B21,1,3)</f>
        <v>5.3157954769202033E-4</v>
      </c>
      <c r="R4" s="1">
        <f>_xlfn.T.TEST('small-grid-state'!B2:B21,'prio-sweep'!B2:B21,1,3)</f>
        <v>9.8214800401287053E-6</v>
      </c>
      <c r="S4" s="1">
        <f>_xlfn.T.TEST('large-grid-state'!B2:B21,'prio-sweep'!B2:B21,1,3)</f>
        <v>7.954298712948716E-3</v>
      </c>
      <c r="T4" s="1">
        <f>_xlfn.T.TEST('grid-state'!B2:B21,'prio-sweep'!B2:B21,1,3)</f>
        <v>3.6825134563847709E-4</v>
      </c>
      <c r="U4" s="1">
        <f>_xlfn.T.TEST('human-ass-low-iteration'!B2:B21,'prio-sweep'!B2:B21,1,3)</f>
        <v>1.7611358023449738E-5</v>
      </c>
      <c r="V4" s="1">
        <f>_xlfn.T.TEST('human-ass'!B2:B21,'prio-sweep'!B2:B21,1,3)</f>
        <v>2.0653876918297693E-9</v>
      </c>
      <c r="W4" s="1">
        <f>_xlfn.T.TEST('low-iteration-prio-sweep'!B2:B21,'prio-sweep'!B2:B21,1,3)</f>
        <v>0.35453473122853441</v>
      </c>
      <c r="X4" s="1">
        <f>_xlfn.T.TEST('prio-sweep'!B2:B21,'prio-sweep'!B2:B21,1,3)</f>
        <v>0.5</v>
      </c>
      <c r="Y4" s="1"/>
      <c r="Z4" s="1"/>
    </row>
    <row r="5" spans="1:26" x14ac:dyDescent="0.3">
      <c r="A5" t="s">
        <v>16</v>
      </c>
      <c r="B5" s="1">
        <f>_xlfn.T.TEST('random-baseline'!B2:B21,'low-iteration-prio-sweep'!B2:B21,1,3)</f>
        <v>1.3441380871624781E-11</v>
      </c>
      <c r="C5" s="1">
        <f>_xlfn.T.TEST('low-stride'!B2:B21,'low-iteration-prio-sweep'!B2:B21,1,3)</f>
        <v>1.0533172135418553E-4</v>
      </c>
      <c r="D5" s="1">
        <f>_xlfn.T.TEST('large-batchsize-large-poolsize'!B2:B21,'low-iteration-prio-sweep'!B2:B21,1,3)</f>
        <v>1.5039919445603953E-7</v>
      </c>
      <c r="E5" s="1">
        <f>_xlfn.T.TEST('large-poolsize'!B2:B21,'low-iteration-prio-sweep'!B2:B21,1,3)</f>
        <v>1.8573311070821757E-5</v>
      </c>
      <c r="F5" s="1">
        <f>_xlfn.T.TEST('small-batchsize-small-poolsize'!B2:B21,'low-iteration-prio-sweep'!B2:B21,1,3)</f>
        <v>8.7415130738032127E-4</v>
      </c>
      <c r="G5" s="1">
        <f>_xlfn.T.TEST('small-batchsize'!B2:B21,'low-iteration-prio-sweep'!B2:B21,1,3)</f>
        <v>6.8824669459215796E-5</v>
      </c>
      <c r="H5" s="1">
        <f>_xlfn.T.TEST('very-high-iteration-full-batch'!B2:B21,'low-iteration-prio-sweep'!B2:B21,1,3)</f>
        <v>8.3616742077392502E-11</v>
      </c>
      <c r="I5" s="1">
        <f>_xlfn.T.TEST('very-high-iteration'!B2:B21,'low-iteration-prio-sweep'!B2:B21,1,3)</f>
        <v>2.890867247221782E-8</v>
      </c>
      <c r="J5" s="1">
        <f>_xlfn.T.TEST('high-iteration'!B2:B21,'low-iteration-prio-sweep'!B2:B21,1,3)</f>
        <v>3.5877242618838939E-10</v>
      </c>
      <c r="K5" s="1">
        <f>_xlfn.T.TEST('random-seeker-random-goal'!B2:B21,'low-iteration-prio-sweep'!B2:B21,1,3)</f>
        <v>9.5147408693333442E-7</v>
      </c>
      <c r="L5" s="1">
        <f>_xlfn.T.TEST('predefined-seeker-random-goal'!B2:B21,'low-iteration-prio-sweep'!B2:B21,1,3)</f>
        <v>0.5</v>
      </c>
      <c r="M5" s="1">
        <f>_xlfn.T.TEST('predefined-seeker'!B2:B21,'low-iteration-prio-sweep'!B2:B21,1,3)</f>
        <v>7.5798050139066556E-2</v>
      </c>
      <c r="N5" s="1">
        <f>_xlfn.T.TEST('vector-binned-state'!B2:B21,'low-iteration-prio-sweep'!B2:B21,1,3)</f>
        <v>1.1409444050436304E-7</v>
      </c>
      <c r="O5" s="1">
        <f>_xlfn.T.TEST('vector-state'!B2:B21,'low-iteration-prio-sweep'!B2:B21,1,3)</f>
        <v>3.8236028890245501E-4</v>
      </c>
      <c r="P5" s="1">
        <f>_xlfn.T.TEST('grid-vector-binned-state'!B2:B21,'low-iteration-prio-sweep'!B2:B21,1,3)</f>
        <v>1.1306927655220662E-8</v>
      </c>
      <c r="Q5" s="1">
        <f>_xlfn.T.TEST('small-grid-vector-state'!B2:B21,'low-iteration-prio-sweep'!B2:B21,1,3)</f>
        <v>4.6934583868969655E-4</v>
      </c>
      <c r="R5" s="1">
        <f>_xlfn.T.TEST('small-grid-state'!B2:B21,'low-iteration-prio-sweep'!B2:B21,1,3)</f>
        <v>7.8013608194305492E-6</v>
      </c>
      <c r="S5" s="1">
        <f>_xlfn.T.TEST('large-grid-state'!B2:B21,'low-iteration-prio-sweep'!B2:B21,1,3)</f>
        <v>7.2855783214375571E-3</v>
      </c>
      <c r="T5" s="1">
        <f>_xlfn.T.TEST('grid-state'!B2:B21,'low-iteration-prio-sweep'!B2:B21,1,3)</f>
        <v>3.1581548349888486E-4</v>
      </c>
      <c r="U5" s="1">
        <f>_xlfn.T.TEST('human-ass-low-iteration'!B2:B21,'low-iteration-prio-sweep'!B2:B21,1,3)</f>
        <v>1.427949392267551E-5</v>
      </c>
      <c r="V5" s="1">
        <f>_xlfn.T.TEST('human-ass'!B2:B21,'low-iteration-prio-sweep'!B2:B21,1,3)</f>
        <v>2.0559650635409751E-9</v>
      </c>
      <c r="W5" s="1">
        <f>_xlfn.T.TEST('low-iteration-prio-sweep'!B2:B21,'low-iteration-prio-sweep'!B2:B21,1,3)</f>
        <v>0.5</v>
      </c>
      <c r="X5" s="1"/>
      <c r="Y5" s="1"/>
      <c r="Z5" s="1"/>
    </row>
    <row r="6" spans="1:26" x14ac:dyDescent="0.3">
      <c r="A6" t="s">
        <v>7</v>
      </c>
      <c r="B6" s="1">
        <f>_xlfn.T.TEST('random-baseline'!B2:B21,'human-ass'!B2:B21,1,3)</f>
        <v>5.9003276878619485E-9</v>
      </c>
      <c r="C6" s="1">
        <f>_xlfn.T.TEST('low-stride'!B2:B21,'human-ass'!B2:B21,1,3)</f>
        <v>1.6703221213942674E-3</v>
      </c>
      <c r="D6" s="1">
        <f>_xlfn.T.TEST('large-batchsize-large-poolsize'!B2:B21,'human-ass'!B2:B21,1,3)</f>
        <v>1.9510216771556301E-4</v>
      </c>
      <c r="E6" s="1">
        <f>_xlfn.T.TEST('large-poolsize'!B2:B21,'human-ass'!B2:B21,1,3)</f>
        <v>2.1786089892012996E-6</v>
      </c>
      <c r="F6" s="1">
        <f>_xlfn.T.TEST('small-batchsize-small-poolsize'!B2:B21,'human-ass'!B2:B21,1,3)</f>
        <v>7.6144766278877997E-9</v>
      </c>
      <c r="G6" s="1">
        <f>_xlfn.T.TEST('small-batchsize'!B2:B21,'human-ass'!B2:B21,1,3)</f>
        <v>4.9383169139877656E-7</v>
      </c>
      <c r="H6" s="1">
        <f>_xlfn.T.TEST('very-high-iteration-full-batch'!B2:B21,'human-ass'!B2:B21,1,3)</f>
        <v>3.1265141060810319E-3</v>
      </c>
      <c r="I6" s="1">
        <f>_xlfn.T.TEST('very-high-iteration'!B2:B21,'human-ass'!B2:B21,1,3)</f>
        <v>1.1624096996758943E-2</v>
      </c>
      <c r="J6" s="1">
        <f>_xlfn.T.TEST('high-iteration'!B2:B21,'human-ass'!B2:B21,1,3)</f>
        <v>0.36274848746080979</v>
      </c>
      <c r="K6" s="1">
        <f>_xlfn.T.TEST('random-seeker-random-goal'!B2:B21,'human-ass'!B2:B21,1,3)</f>
        <v>4.7306458546018303E-7</v>
      </c>
      <c r="L6" s="1">
        <f>_xlfn.T.TEST('predefined-seeker-random-goal'!B2:B21,'human-ass'!B2:B21,1,3)</f>
        <v>2.0055006621505523E-9</v>
      </c>
      <c r="M6" s="1">
        <f>_xlfn.T.TEST('predefined-seeker'!B2:B21,'human-ass'!B2:B21,1,3)</f>
        <v>2.3474545917705174E-9</v>
      </c>
      <c r="N6" s="1">
        <f>_xlfn.T.TEST('vector-binned-state'!B2:B21,'human-ass'!B2:B21,1,3)</f>
        <v>7.637633815460285E-7</v>
      </c>
      <c r="O6" s="1">
        <f>_xlfn.T.TEST('vector-state'!B2:B21,'human-ass'!B2:B21,1,3)</f>
        <v>3.5995569999682758E-5</v>
      </c>
      <c r="P6" s="1">
        <f>_xlfn.T.TEST('grid-vector-binned-state'!B2:B21,'human-ass'!B2:B21,1,3)</f>
        <v>6.8853532740805135E-2</v>
      </c>
      <c r="Q6" s="1">
        <f>_xlfn.T.TEST('small-grid-vector-state'!B2:B21,'human-ass'!B2:B21,1,3)</f>
        <v>1.1164540166667433E-6</v>
      </c>
      <c r="R6" s="1">
        <f>_xlfn.T.TEST('small-grid-state'!B2:B21,'human-ass'!B2:B21,1,3)</f>
        <v>3.5442122119368363E-8</v>
      </c>
      <c r="S6" s="1">
        <f>_xlfn.T.TEST('large-grid-state'!B2:B21,'human-ass'!B2:B21,1,3)</f>
        <v>4.307538541641136E-6</v>
      </c>
      <c r="T6" s="1">
        <f>_xlfn.T.TEST('grid-state'!B2:B21,'human-ass'!B2:B21,1,3)</f>
        <v>1.8384572798622511E-7</v>
      </c>
      <c r="U6" s="1">
        <f>_xlfn.T.TEST('human-ass-low-iteration'!B2:B21,'human-ass'!B2:B21,1,3)</f>
        <v>4.9200788292817745E-8</v>
      </c>
      <c r="V6" s="1">
        <f>_xlfn.T.TEST('human-ass'!B2:B21,'human-ass'!B2:B21,1,3)</f>
        <v>0.5</v>
      </c>
      <c r="W6" s="1"/>
      <c r="X6" s="1"/>
      <c r="Y6" s="1"/>
      <c r="Z6" s="1"/>
    </row>
    <row r="7" spans="1:26" x14ac:dyDescent="0.3">
      <c r="A7" t="s">
        <v>12</v>
      </c>
      <c r="B7" s="1">
        <f>_xlfn.T.TEST('random-baseline'!B2:B21,'human-ass-low-iteration'!B2:B21,1,3)</f>
        <v>5.4456128162575011E-4</v>
      </c>
      <c r="C7" s="1">
        <f>_xlfn.T.TEST('low-stride'!B2:B21,'human-ass-low-iteration'!B2:B21,1,3)</f>
        <v>8.7706408101565995E-3</v>
      </c>
      <c r="D7" s="1">
        <f>_xlfn.T.TEST('large-batchsize-large-poolsize'!B2:B21,'human-ass-low-iteration'!B2:B21,1,3)</f>
        <v>2.183188692695772E-4</v>
      </c>
      <c r="E7" s="1">
        <f>_xlfn.T.TEST('large-poolsize'!B2:B21,'human-ass-low-iteration'!B2:B21,1,3)</f>
        <v>4.3003870645239882E-2</v>
      </c>
      <c r="F7" s="1">
        <f>_xlfn.T.TEST('small-batchsize-small-poolsize'!B2:B21,'human-ass-low-iteration'!B2:B21,1,3)</f>
        <v>3.5535116583691066E-2</v>
      </c>
      <c r="G7" s="1">
        <f>_xlfn.T.TEST('small-batchsize'!B2:B21,'human-ass-low-iteration'!B2:B21,1,3)</f>
        <v>0.13740905891288469</v>
      </c>
      <c r="H7" s="1">
        <f>_xlfn.T.TEST('very-high-iteration-full-batch'!B2:B21,'human-ass-low-iteration'!B2:B21,1,3)</f>
        <v>4.583476884381117E-8</v>
      </c>
      <c r="I7" s="1">
        <f>_xlfn.T.TEST('very-high-iteration'!B2:B21,'human-ass-low-iteration'!B2:B21,1,3)</f>
        <v>5.8293651834718271E-6</v>
      </c>
      <c r="J7" s="1">
        <f>_xlfn.T.TEST('high-iteration'!B2:B21,'human-ass-low-iteration'!B2:B21,1,3)</f>
        <v>5.5932870186680632E-9</v>
      </c>
      <c r="K7" s="1">
        <f>_xlfn.T.TEST('random-seeker-random-goal'!B2:B21,'human-ass-low-iteration'!B2:B21,1,3)</f>
        <v>5.8126574954483194E-2</v>
      </c>
      <c r="L7" s="1">
        <f>_xlfn.T.TEST('predefined-seeker-random-goal'!B2:B21,'human-ass-low-iteration'!B2:B21,1,3)</f>
        <v>1.4198104354243271E-5</v>
      </c>
      <c r="M7" s="1">
        <f>_xlfn.T.TEST('predefined-seeker'!B2:B21,'human-ass-low-iteration'!B2:B21,1,3)</f>
        <v>1.0144690896743508E-4</v>
      </c>
      <c r="N7" s="1">
        <f>_xlfn.T.TEST('vector-binned-state'!B2:B21,'human-ass-low-iteration'!B2:B21,1,3)</f>
        <v>2.3467100545597561E-2</v>
      </c>
      <c r="O7" s="1">
        <f>_xlfn.T.TEST('vector-state'!B2:B21,'human-ass-low-iteration'!B2:B21,1,3)</f>
        <v>5.6196028689466299E-2</v>
      </c>
      <c r="P7" s="1">
        <f>_xlfn.T.TEST('grid-vector-binned-state'!B2:B21,'human-ass-low-iteration'!B2:B21,1,3)</f>
        <v>9.5056770034872028E-7</v>
      </c>
      <c r="Q7" s="1">
        <f>_xlfn.T.TEST('small-grid-vector-state'!B2:B21,'human-ass-low-iteration'!B2:B21,1,3)</f>
        <v>0.16851375084930115</v>
      </c>
      <c r="R7" s="1">
        <f>_xlfn.T.TEST('small-grid-state'!B2:B21,'human-ass-low-iteration'!B2:B21,1,3)</f>
        <v>0.35994290458615491</v>
      </c>
      <c r="S7" s="1">
        <f>_xlfn.T.TEST('large-grid-state'!B2:B21,'human-ass-low-iteration'!B2:B21,1,3)</f>
        <v>0.29831963344240009</v>
      </c>
      <c r="T7" s="1">
        <f>_xlfn.T.TEST('grid-state'!B2:B21,'human-ass-low-iteration'!B2:B21,1,3)</f>
        <v>0.28967867681778892</v>
      </c>
      <c r="U7" s="1">
        <f>_xlfn.T.TEST('human-ass-low-iteration'!B2:B21,'human-ass-low-iteration'!B2:B21,1,3)</f>
        <v>0.5</v>
      </c>
      <c r="V7" s="1"/>
      <c r="W7" s="1"/>
      <c r="X7" s="1"/>
      <c r="Y7" s="1"/>
      <c r="Z7" s="1"/>
    </row>
    <row r="8" spans="1:26" x14ac:dyDescent="0.3">
      <c r="A8" t="s">
        <v>4</v>
      </c>
      <c r="B8" s="1">
        <f>_xlfn.T.TEST('random-baseline'!B2:B21,'grid-state'!B2:B21,1,3)</f>
        <v>3.1014630284389878E-3</v>
      </c>
      <c r="C8" s="1">
        <f>_xlfn.T.TEST('low-stride'!B2:B21,'grid-state'!B2:B21,1,3)</f>
        <v>2.4391010214319518E-2</v>
      </c>
      <c r="D8" s="1">
        <f>_xlfn.T.TEST('large-batchsize-large-poolsize'!B2:B21,'grid-state'!B2:B21,1,3)</f>
        <v>2.9722334627552641E-3</v>
      </c>
      <c r="E8" s="1">
        <f>_xlfn.T.TEST('large-poolsize'!B2:B21,'grid-state'!B2:B21,1,3)</f>
        <v>0.1528736740340543</v>
      </c>
      <c r="F8" s="1">
        <f>_xlfn.T.TEST('small-batchsize-small-poolsize'!B2:B21,'grid-state'!B2:B21,1,3)</f>
        <v>3.1667074260223915E-2</v>
      </c>
      <c r="G8" s="1">
        <f>_xlfn.T.TEST('small-batchsize'!B2:B21,'grid-state'!B2:B21,1,3)</f>
        <v>0.32476889206498516</v>
      </c>
      <c r="H8" s="1">
        <f>_xlfn.T.TEST('very-high-iteration-full-batch'!B2:B21,'grid-state'!B2:B21,1,3)</f>
        <v>7.9116535150516707E-6</v>
      </c>
      <c r="I8" s="1">
        <f>_xlfn.T.TEST('very-high-iteration'!B2:B21,'grid-state'!B2:B21,1,3)</f>
        <v>6.3557881885918771E-5</v>
      </c>
      <c r="J8" s="1">
        <f>_xlfn.T.TEST('high-iteration'!B2:B21,'grid-state'!B2:B21,1,3)</f>
        <v>2.093943714722815E-8</v>
      </c>
      <c r="K8" s="1">
        <f>_xlfn.T.TEST('random-seeker-random-goal'!B2:B21,'grid-state'!B2:B21,1,3)</f>
        <v>0.23685259806868597</v>
      </c>
      <c r="L8" s="1">
        <f>_xlfn.T.TEST('predefined-seeker-random-goal'!B2:B21,'grid-state'!B2:B21,1,3)</f>
        <v>3.1784529098534696E-4</v>
      </c>
      <c r="M8" s="1">
        <f>_xlfn.T.TEST('predefined-seeker'!B2:B21,'grid-state'!B2:B21,1,3)</f>
        <v>1.0226858865848587E-3</v>
      </c>
      <c r="N8" s="1">
        <f>_xlfn.T.TEST('vector-binned-state'!B2:B21,'grid-state'!B2:B21,1,3)</f>
        <v>0.15537339021733093</v>
      </c>
      <c r="O8" s="1">
        <f>_xlfn.T.TEST('vector-state'!B2:B21,'grid-state'!B2:B21,1,3)</f>
        <v>0.13341342158343017</v>
      </c>
      <c r="P8" s="1">
        <f>_xlfn.T.TEST('grid-vector-binned-state'!B2:B21,'grid-state'!B2:B21,1,3)</f>
        <v>7.4064802250855638E-6</v>
      </c>
      <c r="Q8" s="1">
        <f>_xlfn.T.TEST('small-grid-vector-state'!B2:B21,'grid-state'!B2:B21,1,3)</f>
        <v>0.3351110168994974</v>
      </c>
      <c r="R8" s="1">
        <f>_xlfn.T.TEST('small-grid-state'!B2:B21,'grid-state'!B2:B21,1,3)</f>
        <v>0.20264570175015884</v>
      </c>
      <c r="S8" s="1">
        <f>_xlfn.T.TEST('large-grid-state'!B2:B21,'grid-state'!B2:B21,1,3)</f>
        <v>0.44396133331065102</v>
      </c>
      <c r="T8" s="1">
        <f>_xlfn.T.TEST('grid-state'!B2:B21,'grid-state'!B2:B21,1,3)</f>
        <v>0.5</v>
      </c>
      <c r="U8" s="1"/>
      <c r="V8" s="1"/>
      <c r="W8" s="1"/>
      <c r="X8" s="1"/>
      <c r="Y8" s="1"/>
      <c r="Z8" s="1"/>
    </row>
    <row r="9" spans="1:26" x14ac:dyDescent="0.3">
      <c r="A9" t="s">
        <v>14</v>
      </c>
      <c r="B9" s="1">
        <f>_xlfn.T.TEST('random-baseline'!B2:B21,'large-grid-state'!B2:B21,1,3)</f>
        <v>2.6321658333751011E-2</v>
      </c>
      <c r="C9" s="1">
        <f>_xlfn.T.TEST('low-stride'!B2:B21,'large-grid-state'!B2:B21,1,3)</f>
        <v>5.4197236294014094E-2</v>
      </c>
      <c r="D9" s="1">
        <f>_xlfn.T.TEST('large-batchsize-large-poolsize'!B2:B21,'large-grid-state'!B2:B21,1,3)</f>
        <v>2.2947461167533913E-2</v>
      </c>
      <c r="E9" s="1">
        <f>_xlfn.T.TEST('large-poolsize'!B2:B21,'large-grid-state'!B2:B21,1,3)</f>
        <v>0.26369576960518287</v>
      </c>
      <c r="F9" s="1">
        <f>_xlfn.T.TEST('small-batchsize-small-poolsize'!B2:B21,'large-grid-state'!B2:B21,1,3)</f>
        <v>8.1843009177970522E-2</v>
      </c>
      <c r="G9" s="1">
        <f>_xlfn.T.TEST('small-batchsize'!B2:B21,'large-grid-state'!B2:B21,1,3)</f>
        <v>0.42232194605368689</v>
      </c>
      <c r="H9" s="1">
        <f>_xlfn.T.TEST('very-high-iteration-full-batch'!B2:B21,'large-grid-state'!B2:B21,1,3)</f>
        <v>9.1382915280310124E-4</v>
      </c>
      <c r="I9" s="1">
        <f>_xlfn.T.TEST('very-high-iteration'!B2:B21,'large-grid-state'!B2:B21,1,3)</f>
        <v>1.2029423314191454E-3</v>
      </c>
      <c r="J9" s="1">
        <f>_xlfn.T.TEST('high-iteration'!B2:B21,'large-grid-state'!B2:B21,1,3)</f>
        <v>9.3208395462139223E-7</v>
      </c>
      <c r="K9" s="1">
        <f>_xlfn.T.TEST('random-seeker-random-goal'!B2:B21,'large-grid-state'!B2:B21,1,3)</f>
        <v>0.36298688014561609</v>
      </c>
      <c r="L9" s="1">
        <f>_xlfn.T.TEST('predefined-seeker-random-goal'!B2:B21,'large-grid-state'!B2:B21,1,3)</f>
        <v>7.3110618352603745E-3</v>
      </c>
      <c r="M9" s="1">
        <f>_xlfn.T.TEST('predefined-seeker'!B2:B21,'large-grid-state'!B2:B21,1,3)</f>
        <v>1.3821655944764788E-2</v>
      </c>
      <c r="N9" s="1">
        <f>_xlfn.T.TEST('vector-binned-state'!B2:B21,'large-grid-state'!B2:B21,1,3)</f>
        <v>0.29175422244262983</v>
      </c>
      <c r="O9" s="1">
        <f>_xlfn.T.TEST('vector-state'!B2:B21,'large-grid-state'!B2:B21,1,3)</f>
        <v>0.21238709872851208</v>
      </c>
      <c r="P9" s="1">
        <f>_xlfn.T.TEST('grid-vector-binned-state'!B2:B21,'large-grid-state'!B2:B21,1,3)</f>
        <v>1.7960243276784842E-4</v>
      </c>
      <c r="Q9" s="1">
        <f>_xlfn.T.TEST('small-grid-vector-state'!B2:B21,'large-grid-state'!B2:B21,1,3)</f>
        <v>0.42122941133794634</v>
      </c>
      <c r="R9" s="1">
        <f>_xlfn.T.TEST('small-grid-state'!B2:B21,'large-grid-state'!B2:B21,1,3)</f>
        <v>0.23911365220155323</v>
      </c>
      <c r="S9" s="1">
        <f>_xlfn.T.TEST('large-grid-state'!B2:B21,'large-grid-state'!B2:B21,1,3)</f>
        <v>0.5</v>
      </c>
      <c r="T9" s="1"/>
      <c r="U9" s="1"/>
      <c r="V9" s="1"/>
      <c r="W9" s="1"/>
      <c r="X9" s="1"/>
      <c r="Y9" s="1"/>
      <c r="Z9" s="1"/>
    </row>
    <row r="10" spans="1:26" x14ac:dyDescent="0.3">
      <c r="A10" t="s">
        <v>10</v>
      </c>
      <c r="B10" s="1">
        <f>_xlfn.T.TEST('random-baseline'!B2:B21,'small-grid-state'!B2:B21,1,3)</f>
        <v>5.1125340668549076E-4</v>
      </c>
      <c r="C10" s="1">
        <f>_xlfn.T.TEST('low-stride'!B2:B21,'small-grid-state'!B2:B21,1,3)</f>
        <v>5.8456433703387599E-3</v>
      </c>
      <c r="D10" s="1">
        <f>_xlfn.T.TEST('large-batchsize-large-poolsize'!B2:B21,'small-grid-state'!B2:B21,1,3)</f>
        <v>8.999704858909504E-5</v>
      </c>
      <c r="E10" s="1">
        <f>_xlfn.T.TEST('large-poolsize'!B2:B21,'small-grid-state'!B2:B21,1,3)</f>
        <v>2.2899802958811569E-2</v>
      </c>
      <c r="F10" s="1">
        <f>_xlfn.T.TEST('small-batchsize-small-poolsize'!B2:B21,'small-grid-state'!B2:B21,1,3)</f>
        <v>5.7631241616745779E-2</v>
      </c>
      <c r="G10" s="1">
        <f>_xlfn.T.TEST('small-batchsize'!B2:B21,'small-grid-state'!B2:B21,1,3)</f>
        <v>8.3526163707120002E-2</v>
      </c>
      <c r="H10" s="1">
        <f>_xlfn.T.TEST('very-high-iteration-full-batch'!B2:B21,'small-grid-state'!B2:B21,1,3)</f>
        <v>1.2965705483498187E-8</v>
      </c>
      <c r="I10" s="1">
        <f>_xlfn.T.TEST('very-high-iteration'!B2:B21,'small-grid-state'!B2:B21,1,3)</f>
        <v>3.0088053412899712E-6</v>
      </c>
      <c r="J10" s="1">
        <f>_xlfn.T.TEST('high-iteration'!B2:B21,'small-grid-state'!B2:B21,1,3)</f>
        <v>4.2539790920826031E-9</v>
      </c>
      <c r="K10" s="1">
        <f>_xlfn.T.TEST('random-seeker-random-goal'!B2:B21,'small-grid-state'!B2:B21,1,3)</f>
        <v>2.5342949832765093E-2</v>
      </c>
      <c r="L10" s="1">
        <f>_xlfn.T.TEST('predefined-seeker-random-goal'!B2:B21,'small-grid-state'!B2:B21,1,3)</f>
        <v>7.7004125915303845E-6</v>
      </c>
      <c r="M10" s="1">
        <f>_xlfn.T.TEST('predefined-seeker'!B2:B21,'small-grid-state'!B2:B21,1,3)</f>
        <v>8.2594199459996766E-5</v>
      </c>
      <c r="N10" s="1">
        <f>_xlfn.T.TEST('vector-binned-state'!B2:B21,'small-grid-state'!B2:B21,1,3)</f>
        <v>8.0858141858585492E-3</v>
      </c>
      <c r="O10" s="1">
        <f>_xlfn.T.TEST('vector-state'!B2:B21,'small-grid-state'!B2:B21,1,3)</f>
        <v>3.7772715435164819E-2</v>
      </c>
      <c r="P10" s="1">
        <f>_xlfn.T.TEST('grid-vector-binned-state'!B2:B21,'small-grid-state'!B2:B21,1,3)</f>
        <v>5.5834653596726498E-7</v>
      </c>
      <c r="Q10" s="1">
        <f>_xlfn.T.TEST('small-grid-vector-state'!B2:B21,'small-grid-state'!B2:B21,1,3)</f>
        <v>0.11515353812182044</v>
      </c>
      <c r="R10" s="1">
        <f>_xlfn.T.TEST('small-grid-state'!B2:B21,'small-grid-state'!B2:B21,1,3)</f>
        <v>0.5</v>
      </c>
      <c r="S10" s="1"/>
      <c r="T10" s="1"/>
      <c r="U10" s="1"/>
      <c r="V10" s="1"/>
      <c r="W10" s="1"/>
      <c r="X10" s="1"/>
      <c r="Y10" s="1"/>
      <c r="Z10" s="1"/>
    </row>
    <row r="11" spans="1:26" x14ac:dyDescent="0.3">
      <c r="A11" t="s">
        <v>36</v>
      </c>
      <c r="B11" s="1">
        <f>_xlfn.T.TEST('random-baseline'!B2:B21,'small-grid-vector-state'!B2:B21,1,3)</f>
        <v>3.0550011377694672E-3</v>
      </c>
      <c r="C11" s="1">
        <f>_xlfn.T.TEST('low-stride'!B2:B21,'small-grid-vector-state'!B2:B21,1,3)</f>
        <v>5.4821305319879735E-2</v>
      </c>
      <c r="D11" s="1">
        <f>_xlfn.T.TEST('large-batchsize-large-poolsize'!B2:B21,'small-grid-vector-state'!B2:B21,1,3)</f>
        <v>1.5949907351873439E-2</v>
      </c>
      <c r="E11" s="1">
        <f>_xlfn.T.TEST('large-poolsize'!B2:B21,'small-grid-vector-state'!B2:B21,1,3)</f>
        <v>0.30484416304483375</v>
      </c>
      <c r="F11" s="1">
        <f>_xlfn.T.TEST('small-batchsize-small-poolsize'!B2:B21,'small-grid-vector-state'!B2:B21,1,3)</f>
        <v>2.0309394967161519E-2</v>
      </c>
      <c r="G11" s="1">
        <f>_xlfn.T.TEST('small-batchsize'!B2:B21,'small-grid-vector-state'!B2:B21,1,3)</f>
        <v>0.49242646022320868</v>
      </c>
      <c r="H11" s="1">
        <f>_xlfn.T.TEST('very-high-iteration-full-batch'!B2:B21,'small-grid-vector-state'!B2:B21,1,3)</f>
        <v>1.8832311373042751E-4</v>
      </c>
      <c r="I11" s="1">
        <f>_xlfn.T.TEST('very-high-iteration'!B2:B21,'small-grid-vector-state'!B2:B21,1,3)</f>
        <v>4.8422513764561102E-4</v>
      </c>
      <c r="J11" s="1">
        <f>_xlfn.T.TEST('high-iteration'!B2:B21,'small-grid-vector-state'!B2:B21,1,3)</f>
        <v>1.585677049596315E-7</v>
      </c>
      <c r="K11" s="1">
        <f>_xlfn.T.TEST('random-seeker-random-goal'!B2:B21,'small-grid-vector-state'!B2:B21,1,3)</f>
        <v>0.43767660319175533</v>
      </c>
      <c r="L11" s="1">
        <f>_xlfn.T.TEST('predefined-seeker-random-goal'!B2:B21,'small-grid-vector-state'!B2:B21,1,3)</f>
        <v>4.7159122547472249E-4</v>
      </c>
      <c r="M11" s="1">
        <f>_xlfn.T.TEST('predefined-seeker'!B2:B21,'small-grid-vector-state'!B2:B21,1,3)</f>
        <v>1.2010918988423639E-3</v>
      </c>
      <c r="N11" s="1">
        <f>_xlfn.T.TEST('vector-binned-state'!B2:B21,'small-grid-vector-state'!B2:B21,1,3)</f>
        <v>0.34277025351457258</v>
      </c>
      <c r="O11" s="1">
        <f>_xlfn.T.TEST('vector-state'!B2:B21,'small-grid-vector-state'!B2:B21,1,3)</f>
        <v>0.24047976037341184</v>
      </c>
      <c r="P11" s="1">
        <f>_xlfn.T.TEST('grid-vector-binned-state'!B2:B21,'small-grid-vector-state'!B2:B21,1,3)</f>
        <v>5.6984430337417748E-5</v>
      </c>
      <c r="Q11" s="1">
        <f>_xlfn.T.TEST('small-grid-vector-state'!B2:B21,'small-grid-vector-state'!B2:B21,1,3)</f>
        <v>0.5</v>
      </c>
      <c r="R11" s="1"/>
      <c r="S11" s="1"/>
      <c r="T11" s="1"/>
      <c r="U11" s="1"/>
      <c r="V11" s="1"/>
      <c r="W11" s="1"/>
      <c r="X11" s="1"/>
      <c r="Y11" s="1"/>
      <c r="Z11" s="1"/>
    </row>
    <row r="12" spans="1:26" x14ac:dyDescent="0.3">
      <c r="A12" t="s">
        <v>5</v>
      </c>
      <c r="B12" s="1">
        <f>_xlfn.T.TEST('random-baseline'!B2:B21,'grid-vector-binned-state'!B2:B21,1,3)</f>
        <v>4.052460019256791E-8</v>
      </c>
      <c r="C12" s="1">
        <f>_xlfn.T.TEST('low-stride'!B2:B21,'grid-vector-binned-state'!B2:B21,1,3)</f>
        <v>3.2848794896651531E-2</v>
      </c>
      <c r="D12" s="1">
        <f>_xlfn.T.TEST('large-batchsize-large-poolsize'!B2:B21,'grid-vector-binned-state'!B2:B21,1,3)</f>
        <v>9.716014502086024E-3</v>
      </c>
      <c r="E12" s="1">
        <f>_xlfn.T.TEST('large-poolsize'!B2:B21,'grid-vector-binned-state'!B2:B21,1,3)</f>
        <v>1.1486284572110626E-4</v>
      </c>
      <c r="F12" s="1">
        <f>_xlfn.T.TEST('small-batchsize-small-poolsize'!B2:B21,'grid-vector-binned-state'!B2:B21,1,3)</f>
        <v>8.121508824989455E-8</v>
      </c>
      <c r="G12" s="1">
        <f>_xlfn.T.TEST('small-batchsize'!B2:B21,'grid-vector-binned-state'!B2:B21,1,3)</f>
        <v>2.2322738306897052E-5</v>
      </c>
      <c r="H12" s="1">
        <f>_xlfn.T.TEST('very-high-iteration-full-batch'!B2:B21,'grid-vector-binned-state'!B2:B21,1,3)</f>
        <v>0.10616290319463283</v>
      </c>
      <c r="I12" s="1">
        <f>_xlfn.T.TEST('very-high-iteration'!B2:B21,'grid-vector-binned-state'!B2:B21,1,3)</f>
        <v>0.19857508655628281</v>
      </c>
      <c r="J12" s="1">
        <f>_xlfn.T.TEST('high-iteration'!B2:B21,'grid-vector-binned-state'!B2:B21,1,3)</f>
        <v>2.9866414723926777E-2</v>
      </c>
      <c r="K12" s="1">
        <f>_xlfn.T.TEST('random-seeker-random-goal'!B2:B21,'grid-vector-binned-state'!B2:B21,1,3)</f>
        <v>1.6724144611529878E-5</v>
      </c>
      <c r="L12" s="1">
        <f>_xlfn.T.TEST('predefined-seeker-random-goal'!B2:B21,'grid-vector-binned-state'!B2:B21,1,3)</f>
        <v>1.1033182024764574E-8</v>
      </c>
      <c r="M12" s="1">
        <f>_xlfn.T.TEST('predefined-seeker'!B2:B21,'grid-vector-binned-state'!B2:B21,1,3)</f>
        <v>1.4579183103799723E-8</v>
      </c>
      <c r="N12" s="1">
        <f>_xlfn.T.TEST('vector-binned-state'!B2:B21,'grid-vector-binned-state'!B2:B21,1,3)</f>
        <v>2.7348800764692313E-5</v>
      </c>
      <c r="O12" s="1">
        <f>_xlfn.T.TEST('vector-state'!B2:B21,'grid-vector-binned-state'!B2:B21,1,3)</f>
        <v>1.4937849888613174E-3</v>
      </c>
      <c r="P12" s="1">
        <f>_xlfn.T.TEST('grid-vector-binned-state'!B2:B21,'grid-vector-binned-state'!B2:B21,1,3)</f>
        <v>0.5</v>
      </c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x14ac:dyDescent="0.3">
      <c r="A13" t="s">
        <v>8</v>
      </c>
      <c r="B13" s="1">
        <f>_xlfn.T.TEST('random-baseline'!B2:B21,'vector-state'!B2:B21,1,3)</f>
        <v>1.6941694697482782E-3</v>
      </c>
      <c r="C13" s="1">
        <f>_xlfn.T.TEST('low-stride'!B2:B21,'vector-state'!B2:B21,1,3)</f>
        <v>0.17964903270044802</v>
      </c>
      <c r="D13" s="1">
        <f>_xlfn.T.TEST('large-batchsize-large-poolsize'!B2:B21,'vector-state'!B2:B21,1,3)</f>
        <v>0.12062288824372833</v>
      </c>
      <c r="E13" s="1">
        <f>_xlfn.T.TEST('large-poolsize'!B2:B21,'vector-state'!B2:B21,1,3)</f>
        <v>0.38045981050157512</v>
      </c>
      <c r="F13" s="1">
        <f>_xlfn.T.TEST('small-batchsize-small-poolsize'!B2:B21,'vector-state'!B2:B21,1,3)</f>
        <v>7.670207436027191E-3</v>
      </c>
      <c r="G13" s="1">
        <f>_xlfn.T.TEST('small-batchsize'!B2:B21,'vector-state'!B2:B21,1,3)</f>
        <v>0.22086709813751931</v>
      </c>
      <c r="H13" s="1">
        <f>_xlfn.T.TEST('very-high-iteration-full-batch'!B2:B21,'vector-state'!B2:B21,1,3)</f>
        <v>8.1121328592653336E-3</v>
      </c>
      <c r="I13" s="1">
        <f>_xlfn.T.TEST('very-high-iteration'!B2:B21,'vector-state'!B2:B21,1,3)</f>
        <v>9.1502570364966219E-3</v>
      </c>
      <c r="J13" s="1">
        <f>_xlfn.T.TEST('high-iteration'!B2:B21,'vector-state'!B2:B21,1,3)</f>
        <v>7.9295596817277462E-6</v>
      </c>
      <c r="K13" s="1">
        <f>_xlfn.T.TEST('random-seeker-random-goal'!B2:B21,'vector-state'!B2:B21,1,3)</f>
        <v>0.24925163842710174</v>
      </c>
      <c r="L13" s="1">
        <f>_xlfn.T.TEST('predefined-seeker-random-goal'!B2:B21,'vector-state'!B2:B21,1,3)</f>
        <v>3.8341502392978531E-4</v>
      </c>
      <c r="M13" s="1">
        <f>_xlfn.T.TEST('predefined-seeker'!B2:B21,'vector-state'!B2:B21,1,3)</f>
        <v>7.8776491188116611E-4</v>
      </c>
      <c r="N13" s="1">
        <f>_xlfn.T.TEST('vector-binned-state'!B2:B21,'vector-state'!B2:B21,1,3)</f>
        <v>0.31391124935908632</v>
      </c>
      <c r="O13" s="1">
        <f>_xlfn.T.TEST('vector-state'!B2:B21,'vector-state'!B2:B21,1,3)</f>
        <v>0.5</v>
      </c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x14ac:dyDescent="0.3">
      <c r="A14" t="s">
        <v>9</v>
      </c>
      <c r="B14" s="1">
        <f>_xlfn.T.TEST('random-baseline'!B2:B21,'vector-binned-state'!B2:B21,1,3)</f>
        <v>2.2320747142778791E-6</v>
      </c>
      <c r="C14" s="1">
        <f>_xlfn.T.TEST('low-stride'!B2:B21,'vector-binned-state'!B2:B21,1,3)</f>
        <v>6.6249489376155907E-2</v>
      </c>
      <c r="D14" s="1">
        <f>_xlfn.T.TEST('large-batchsize-large-poolsize'!B2:B21,'vector-binned-state'!B2:B21,1,3)</f>
        <v>1.167515918815494E-2</v>
      </c>
      <c r="E14" s="1">
        <f>_xlfn.T.TEST('large-poolsize'!B2:B21,'vector-binned-state'!B2:B21,1,3)</f>
        <v>0.4197090786946911</v>
      </c>
      <c r="F14" s="1">
        <f>_xlfn.T.TEST('small-batchsize-small-poolsize'!B2:B21,'vector-binned-state'!B2:B21,1,3)</f>
        <v>1.6305251673546609E-4</v>
      </c>
      <c r="G14" s="1">
        <f>_xlfn.T.TEST('small-batchsize'!B2:B21,'vector-binned-state'!B2:B21,1,3)</f>
        <v>0.31101453806681889</v>
      </c>
      <c r="H14" s="1">
        <f>_xlfn.T.TEST('very-high-iteration-full-batch'!B2:B21,'vector-binned-state'!B2:B21,1,3)</f>
        <v>1.3667013014074381E-5</v>
      </c>
      <c r="I14" s="1">
        <f>_xlfn.T.TEST('very-high-iteration'!B2:B21,'vector-binned-state'!B2:B21,1,3)</f>
        <v>2.3229455849105258E-4</v>
      </c>
      <c r="J14" s="1">
        <f>_xlfn.T.TEST('high-iteration'!B2:B21,'vector-binned-state'!B2:B21,1,3)</f>
        <v>9.1153613986229123E-8</v>
      </c>
      <c r="K14" s="1">
        <f>_xlfn.T.TEST('random-seeker-random-goal'!B2:B21,'vector-binned-state'!B2:B21,1,3)</f>
        <v>0.36697665172807209</v>
      </c>
      <c r="L14" s="1">
        <f>_xlfn.T.TEST('predefined-seeker-random-goal'!B2:B21,'vector-binned-state'!B2:B21,1,3)</f>
        <v>1.0738108648724882E-7</v>
      </c>
      <c r="M14" s="1">
        <f>_xlfn.T.TEST('predefined-seeker'!B2:B21,'vector-binned-state'!B2:B21,1,3)</f>
        <v>3.1288518223484384E-7</v>
      </c>
      <c r="N14" s="1">
        <f>_xlfn.T.TEST('vector-binned-state'!B2:B21,'vector-binned-state'!B2:B21,1,3)</f>
        <v>0.5</v>
      </c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x14ac:dyDescent="0.3">
      <c r="A15" t="s">
        <v>18</v>
      </c>
      <c r="B15" s="1">
        <f>_xlfn.T.TEST('random-baseline'!B2:B21,'predefined-seeker'!B2:B21,1,3)</f>
        <v>3.9116719601852333E-2</v>
      </c>
      <c r="C15" s="1">
        <f>_xlfn.T.TEST('low-stride'!B2:B21,'predefined-seeker'!B2:B21,1,3)</f>
        <v>1.8861214288070475E-4</v>
      </c>
      <c r="D15" s="1">
        <f>_xlfn.T.TEST('large-batchsize-large-poolsize'!B2:B21,'predefined-seeker'!B2:B21,1,3)</f>
        <v>2.6347932781845847E-7</v>
      </c>
      <c r="E15" s="1">
        <f>_xlfn.T.TEST('large-poolsize'!B2:B21,'predefined-seeker'!B2:B21,1,3)</f>
        <v>5.1089934915301932E-5</v>
      </c>
      <c r="F15" s="1">
        <f>_xlfn.T.TEST('small-batchsize-small-poolsize'!B2:B21,'predefined-seeker'!B2:B21,1,3)</f>
        <v>1.0507972708966843E-2</v>
      </c>
      <c r="G15" s="1">
        <f>_xlfn.T.TEST('small-batchsize'!B2:B21,'predefined-seeker'!B2:B21,1,3)</f>
        <v>2.1590945701316399E-4</v>
      </c>
      <c r="H15" s="1">
        <f>_xlfn.T.TEST('very-high-iteration-full-batch'!B2:B21,'predefined-seeker'!B2:B21,1,3)</f>
        <v>4.7457017768831086E-11</v>
      </c>
      <c r="I15" s="1">
        <f>_xlfn.T.TEST('very-high-iteration'!B2:B21,'predefined-seeker'!B2:B21,1,3)</f>
        <v>4.068507830429502E-8</v>
      </c>
      <c r="J15" s="1">
        <f>_xlfn.T.TEST('high-iteration'!B2:B21,'predefined-seeker'!B2:B21,1,3)</f>
        <v>3.5629954520663157E-10</v>
      </c>
      <c r="K15" s="1">
        <f>_xlfn.T.TEST('random-seeker-random-goal'!B2:B21,'predefined-seeker'!B2:B21,1,3)</f>
        <v>3.2483350939056265E-6</v>
      </c>
      <c r="L15" s="1">
        <f>_xlfn.T.TEST('predefined-seeker-random-goal'!B2:B21,'predefined-seeker'!B2:B21,1,3)</f>
        <v>8.0620102507094629E-2</v>
      </c>
      <c r="M15" s="1">
        <f>_xlfn.T.TEST('predefined-seeker'!B2:B21,'predefined-seeker'!B2:B21,1,3)</f>
        <v>0.5</v>
      </c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x14ac:dyDescent="0.3">
      <c r="A16" t="s">
        <v>19</v>
      </c>
      <c r="B16" s="1">
        <f>_xlfn.T.TEST('random-baseline'!B2:B21,'predefined-seeker-random-goal'!B2:B21,1,3)</f>
        <v>3.4841964174748837E-9</v>
      </c>
      <c r="C16" s="1">
        <f>_xlfn.T.TEST('low-stride'!B2:B21,'predefined-seeker-random-goal'!B2:B21,1,3)</f>
        <v>1.0542611129952285E-4</v>
      </c>
      <c r="D16" s="1">
        <f>_xlfn.T.TEST('large-batchsize-large-poolsize'!B2:B21,'predefined-seeker-random-goal'!B2:B21,1,3)</f>
        <v>1.467860070099885E-7</v>
      </c>
      <c r="E16" s="1">
        <f>_xlfn.T.TEST('large-poolsize'!B2:B21,'predefined-seeker-random-goal'!B2:B21,1,3)</f>
        <v>1.8525297766161923E-5</v>
      </c>
      <c r="F16" s="1">
        <f>_xlfn.T.TEST('small-batchsize-small-poolsize'!B2:B21,'predefined-seeker-random-goal'!B2:B21,1,3)</f>
        <v>9.0398175225799655E-4</v>
      </c>
      <c r="G16" s="1">
        <f>_xlfn.T.TEST('small-batchsize'!B2:B21,'predefined-seeker-random-goal'!B2:B21,1,3)</f>
        <v>6.8976165042037381E-5</v>
      </c>
      <c r="H16" s="1">
        <f>_xlfn.T.TEST('very-high-iteration-full-batch'!B2:B21,'predefined-seeker-random-goal'!B2:B21,1,3)</f>
        <v>7.4782737762983522E-11</v>
      </c>
      <c r="I16" s="1">
        <f>_xlfn.T.TEST('very-high-iteration'!B2:B21,'predefined-seeker-random-goal'!B2:B21,1,3)</f>
        <v>2.8213186342794405E-8</v>
      </c>
      <c r="J16" s="1">
        <f>_xlfn.T.TEST('high-iteration'!B2:B21,'predefined-seeker-random-goal'!B2:B21,1,3)</f>
        <v>3.4665723614401675E-10</v>
      </c>
      <c r="K16" s="1">
        <f>_xlfn.T.TEST('random-seeker-random-goal'!B2:B21,'predefined-seeker-random-goal'!B2:B21,1,3)</f>
        <v>9.2373479786916164E-7</v>
      </c>
      <c r="L16" s="1">
        <f>_xlfn.T.TEST('predefined-seeker-random-goal'!B2:B21,'predefined-seeker-random-goal'!B2:B21,1,3)</f>
        <v>0.5</v>
      </c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x14ac:dyDescent="0.3">
      <c r="A17" t="s">
        <v>13</v>
      </c>
      <c r="B17" s="1">
        <f>_xlfn.T.TEST('random-baseline'!B2:B21,'random-seeker-random-goal'!B2:B21,1,3)</f>
        <v>1.74219719724144E-5</v>
      </c>
      <c r="C17" s="1">
        <f>_xlfn.T.TEST('low-stride'!B2:B21,'random-seeker-random-goal'!B2:B21,1,3)</f>
        <v>4.9327864202057363E-2</v>
      </c>
      <c r="D17" s="1">
        <f>_xlfn.T.TEST('large-batchsize-large-poolsize'!B2:B21,'random-seeker-random-goal'!B2:B21,1,3)</f>
        <v>7.1026226928511257E-3</v>
      </c>
      <c r="E17" s="1">
        <f>_xlfn.T.TEST('large-poolsize'!B2:B21,'random-seeker-random-goal'!B2:B21,1,3)</f>
        <v>0.32115648922859646</v>
      </c>
      <c r="F17" s="1">
        <f>_xlfn.T.TEST('small-batchsize-small-poolsize'!B2:B21,'random-seeker-random-goal'!B2:B21,1,3)</f>
        <v>8.7375200653615258E-4</v>
      </c>
      <c r="G17" s="1">
        <f>_xlfn.T.TEST('small-batchsize'!B2:B21,'random-seeker-random-goal'!B2:B21,1,3)</f>
        <v>0.41905792490981558</v>
      </c>
      <c r="H17" s="1">
        <f>_xlfn.T.TEST('very-high-iteration-full-batch'!B2:B21,'random-seeker-random-goal'!B2:B21,1,3)</f>
        <v>8.0764369025063086E-6</v>
      </c>
      <c r="I17" s="1">
        <f>_xlfn.T.TEST('very-high-iteration'!B2:B21,'random-seeker-random-goal'!B2:B21,1,3)</f>
        <v>1.4078301629587094E-4</v>
      </c>
      <c r="J17" s="1">
        <f>_xlfn.T.TEST('high-iteration'!B2:B21,'random-seeker-random-goal'!B2:B21,1,3)</f>
        <v>5.4628671629322779E-8</v>
      </c>
      <c r="K17" s="1">
        <f>_xlfn.T.TEST('random-seeker-random-goal'!B2:B21,'random-seeker-random-goal'!B2:B21,1,3)</f>
        <v>0.5</v>
      </c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x14ac:dyDescent="0.3">
      <c r="A18" t="s">
        <v>6</v>
      </c>
      <c r="B18" s="1">
        <f>_xlfn.T.TEST('random-baseline'!B2:B21,'high-iteration'!B2:B21,1,3)</f>
        <v>1.0147482900029537E-9</v>
      </c>
      <c r="C18" s="1">
        <f>_xlfn.T.TEST('low-stride'!B2:B21,'high-iteration'!B2:B21,1,3)</f>
        <v>5.6181887716125157E-4</v>
      </c>
      <c r="D18" s="1">
        <f>_xlfn.T.TEST('large-batchsize-large-poolsize'!B2:B21,'high-iteration'!B2:B21,1,3)</f>
        <v>3.5313765347508526E-5</v>
      </c>
      <c r="E18" s="1">
        <f>_xlfn.T.TEST('large-poolsize'!B2:B21,'high-iteration'!B2:B21,1,3)</f>
        <v>2.847097565795648E-7</v>
      </c>
      <c r="F18" s="1">
        <f>_xlfn.T.TEST('small-batchsize-small-poolsize'!B2:B21,'high-iteration'!B2:B21,1,3)</f>
        <v>9.1666911054888011E-10</v>
      </c>
      <c r="G18" s="1">
        <f>_xlfn.T.TEST('small-batchsize'!B2:B21,'high-iteration'!B2:B21,1,3)</f>
        <v>5.8587904444701632E-8</v>
      </c>
      <c r="H18" s="1">
        <f>_xlfn.T.TEST('very-high-iteration-full-batch'!B2:B21,'high-iteration'!B2:B21,1,3)</f>
        <v>6.8272140428224783E-4</v>
      </c>
      <c r="I18" s="1">
        <f>_xlfn.T.TEST('very-high-iteration'!B2:B21,'high-iteration'!B2:B21,1,3)</f>
        <v>3.6418317923937182E-3</v>
      </c>
      <c r="J18" s="1">
        <f>_xlfn.T.TEST('high-iteration'!B2:B21,'high-iteration'!B2:B21,1,3)</f>
        <v>0.5</v>
      </c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x14ac:dyDescent="0.3">
      <c r="A19" t="s">
        <v>22</v>
      </c>
      <c r="B19" s="1">
        <f>_xlfn.T.TEST('random-baseline'!B2:B21,'very-high-iteration'!B2:B21,1,3)</f>
        <v>1.2130199563377522E-7</v>
      </c>
      <c r="C19" s="1">
        <f>_xlfn.T.TEST('low-stride'!B2:B21,'very-high-iteration'!B2:B21,1,3)</f>
        <v>0.11492559034638739</v>
      </c>
      <c r="D19" s="1">
        <f>_xlfn.T.TEST('large-batchsize-large-poolsize'!B2:B21,'very-high-iteration'!B2:B21,1,3)</f>
        <v>5.9139886879033467E-2</v>
      </c>
      <c r="E19" s="1">
        <f>_xlfn.T.TEST('large-poolsize'!B2:B21,'very-high-iteration'!B2:B21,1,3)</f>
        <v>1.0198489307361117E-3</v>
      </c>
      <c r="F19" s="1">
        <f>_xlfn.T.TEST('small-batchsize-small-poolsize'!B2:B21,'very-high-iteration'!B2:B21,1,3)</f>
        <v>3.3580609399036771E-7</v>
      </c>
      <c r="G19" s="1">
        <f>_xlfn.T.TEST('small-batchsize'!B2:B21,'very-high-iteration'!B2:B21,1,3)</f>
        <v>1.9818442649754167E-4</v>
      </c>
      <c r="H19" s="1">
        <f>_xlfn.T.TEST('very-high-iteration-full-batch'!B2:B21,'very-high-iteration'!B2:B21,1,3)</f>
        <v>0.3839928364948092</v>
      </c>
      <c r="I19" s="1">
        <f>_xlfn.T.TEST('very-high-iteration'!B2:B21,'very-high-iteration'!B2:B21,1,3)</f>
        <v>0.5</v>
      </c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x14ac:dyDescent="0.3">
      <c r="A20" t="s">
        <v>37</v>
      </c>
      <c r="B20" s="1">
        <f>_xlfn.T.TEST('random-baseline'!B2:B21,'very-high-iteration-full-batch'!B2:B21,1,3)</f>
        <v>4.6618556636230248E-10</v>
      </c>
      <c r="C20" s="1">
        <f>_xlfn.T.TEST('low-stride'!B2:B21,'very-high-iteration-full-batch'!B2:B21,1,3)</f>
        <v>0.13554916519557395</v>
      </c>
      <c r="D20" s="1">
        <f>_xlfn.T.TEST('large-batchsize-large-poolsize'!B2:B21,'very-high-iteration-full-batch'!B2:B21,1,3)</f>
        <v>5.8355045379577065E-2</v>
      </c>
      <c r="E20" s="1">
        <f>_xlfn.T.TEST('large-poolsize'!B2:B21,'very-high-iteration-full-batch'!B2:B21,1,3)</f>
        <v>3.2590863763093598E-4</v>
      </c>
      <c r="F20" s="1">
        <f>_xlfn.T.TEST('small-batchsize-small-poolsize'!B2:B21,'very-high-iteration-full-batch'!B2:B21,1,3)</f>
        <v>5.0431026620916634E-10</v>
      </c>
      <c r="G20" s="1">
        <f>_xlfn.T.TEST('small-batchsize'!B2:B21,'very-high-iteration-full-batch'!B2:B21,1,3)</f>
        <v>3.3956927602324133E-5</v>
      </c>
      <c r="H20" s="1">
        <f>_xlfn.T.TEST('very-high-iteration-full-batch'!B2:B21,'very-high-iteration-full-batch'!B2:B21,1,3)</f>
        <v>0.5</v>
      </c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x14ac:dyDescent="0.3">
      <c r="A21" t="s">
        <v>21</v>
      </c>
      <c r="B21" s="1">
        <f>_xlfn.T.TEST('random-baseline'!B2:B21,'small-batchsize'!B2:B21,1,3)</f>
        <v>6.9133799190427604E-4</v>
      </c>
      <c r="C21" s="1">
        <f>_xlfn.T.TEST('low-stride'!B2:B21,'small-batchsize'!B2:B21,1,3)</f>
        <v>4.5417694085960317E-2</v>
      </c>
      <c r="D21" s="1">
        <f>_xlfn.T.TEST('large-batchsize-large-poolsize'!B2:B21,'small-batchsize'!B2:B21,1,3)</f>
        <v>8.7449070857054216E-3</v>
      </c>
      <c r="E21" s="1">
        <f>_xlfn.T.TEST('large-poolsize'!B2:B21,'small-batchsize'!B2:B21,1,3)</f>
        <v>0.27832229602170167</v>
      </c>
      <c r="F21" s="1">
        <f>_xlfn.T.TEST('small-batchsize-small-poolsize'!B2:B21,'small-batchsize'!B2:B21,1,3)</f>
        <v>8.9052177621406978E-3</v>
      </c>
      <c r="G21" s="1">
        <f>_xlfn.T.TEST('small-batchsize'!B2:B21,'small-batchsize'!B2:B21,1,3)</f>
        <v>0.5</v>
      </c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x14ac:dyDescent="0.3">
      <c r="A22" t="s">
        <v>11</v>
      </c>
      <c r="B22" s="1">
        <f>_xlfn.T.TEST('random-baseline'!B2:B21,'small-batchsize-small-poolsize'!B2:B21,1,3)</f>
        <v>5.1321660531000041E-2</v>
      </c>
      <c r="C22" s="1">
        <f>_xlfn.T.TEST('low-stride'!B2:B21,'small-batchsize-small-poolsize'!B2:B21,1,3)</f>
        <v>1.3030564365088407E-3</v>
      </c>
      <c r="D22" s="1">
        <f>_xlfn.T.TEST('large-batchsize-large-poolsize'!B2:B21,'small-batchsize-small-poolsize'!B2:B21,1,3)</f>
        <v>5.735407329160085E-6</v>
      </c>
      <c r="E22" s="1">
        <f>_xlfn.T.TEST('large-poolsize'!B2:B21,'small-batchsize-small-poolsize'!B2:B21,1,3)</f>
        <v>1.9462109528807169E-3</v>
      </c>
      <c r="F22" s="1">
        <f>_xlfn.T.TEST('small-batchsize-small-poolsize'!B2:B21,'small-batchsize-small-poolsize'!B2:B21,1,3)</f>
        <v>0.5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x14ac:dyDescent="0.3">
      <c r="A23" t="s">
        <v>38</v>
      </c>
      <c r="B23" s="1">
        <f>_xlfn.T.TEST('random-baseline'!B2:B21,'large-poolsize'!B2:B21,1,3)</f>
        <v>1.6182685549515039E-4</v>
      </c>
      <c r="C23" s="1">
        <f>_xlfn.T.TEST('low-stride'!B2:B21,'large-poolsize'!B2:B21,1,3)</f>
        <v>9.7944912684323954E-2</v>
      </c>
      <c r="D23" s="1">
        <f>_xlfn.T.TEST('large-batchsize-large-poolsize'!B2:B21,'large-poolsize'!B2:B21,1,3)</f>
        <v>3.5082404671818355E-2</v>
      </c>
      <c r="E23" s="1">
        <f>_xlfn.T.TEST('large-poolsize'!B2:B21,'large-poolsize'!B2:B21,1,3)</f>
        <v>0.5</v>
      </c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x14ac:dyDescent="0.3">
      <c r="A24" t="s">
        <v>39</v>
      </c>
      <c r="B24" s="1">
        <f>_xlfn.T.TEST('random-baseline'!B2:B21,'large-batchsize-large-poolsize'!B2:B21,1,3)</f>
        <v>9.2677618377531812E-7</v>
      </c>
      <c r="C24" s="1">
        <f>_xlfn.T.TEST('low-stride'!B2:B21,'large-batchsize-large-poolsize'!B2:B21,1,3)</f>
        <v>0.49443877179763362</v>
      </c>
      <c r="D24" s="1">
        <f>_xlfn.T.TEST('large-batchsize-large-poolsize'!B2:B21,'large-batchsize-large-poolsize'!B2:B21,1,3)</f>
        <v>0.5</v>
      </c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x14ac:dyDescent="0.3">
      <c r="A25" t="s">
        <v>17</v>
      </c>
      <c r="B25" s="1">
        <f>_xlfn.T.TEST('random-baseline'!B2:B21,'low-stride'!B2:B21,1,3)</f>
        <v>3.6746704391980248E-4</v>
      </c>
      <c r="C25" s="1">
        <f>_xlfn.T.TEST('low-stride'!B2:B21,'low-stride'!B2:B21,1,3)</f>
        <v>0.5</v>
      </c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x14ac:dyDescent="0.3">
      <c r="A26" t="s">
        <v>34</v>
      </c>
      <c r="B26" s="1">
        <f>_xlfn.T.TEST('random-baseline'!B2:B21,'random-baseline'!B2:B21,1,3)</f>
        <v>0.5</v>
      </c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x14ac:dyDescent="0.3"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x14ac:dyDescent="0.3"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x14ac:dyDescent="0.3"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x14ac:dyDescent="0.3"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2"/>
  <dimension ref="A1:M21"/>
  <sheetViews>
    <sheetView workbookViewId="0">
      <selection activeCell="M21" sqref="M21"/>
    </sheetView>
  </sheetViews>
  <sheetFormatPr defaultRowHeight="14.4" x14ac:dyDescent="0.3"/>
  <sheetData>
    <row r="1" spans="1:13" x14ac:dyDescent="0.25">
      <c r="A1" t="s">
        <v>0</v>
      </c>
      <c r="B1" t="s">
        <v>1</v>
      </c>
      <c r="C1" t="s">
        <v>2</v>
      </c>
      <c r="F1" t="s">
        <v>33</v>
      </c>
    </row>
    <row r="2" spans="1:13" x14ac:dyDescent="0.25">
      <c r="A2">
        <v>420.19</v>
      </c>
      <c r="B2">
        <v>0.33</v>
      </c>
      <c r="C2">
        <v>0.23</v>
      </c>
      <c r="F2">
        <f>_xlfn.T.TEST(control!B2:B21,'grid-state'!B2:B21,1,3)</f>
        <v>1.9175933059904118E-4</v>
      </c>
      <c r="M2">
        <f t="shared" ref="M2:M21" si="0">B2/0.363</f>
        <v>0.90909090909090917</v>
      </c>
    </row>
    <row r="3" spans="1:13" x14ac:dyDescent="0.25">
      <c r="A3">
        <v>298.83999999999997</v>
      </c>
      <c r="B3">
        <v>0.7</v>
      </c>
      <c r="C3">
        <v>0.38</v>
      </c>
      <c r="M3">
        <f t="shared" si="0"/>
        <v>1.9283746556473829</v>
      </c>
    </row>
    <row r="4" spans="1:13" x14ac:dyDescent="0.25">
      <c r="A4">
        <v>195.88</v>
      </c>
      <c r="B4">
        <v>0.22</v>
      </c>
      <c r="C4">
        <v>0.21</v>
      </c>
      <c r="M4">
        <f t="shared" si="0"/>
        <v>0.60606060606060608</v>
      </c>
    </row>
    <row r="5" spans="1:13" x14ac:dyDescent="0.25">
      <c r="A5">
        <v>270.60000000000002</v>
      </c>
      <c r="B5">
        <v>0.3</v>
      </c>
      <c r="C5">
        <v>0.27</v>
      </c>
      <c r="M5">
        <f t="shared" si="0"/>
        <v>0.82644628099173556</v>
      </c>
    </row>
    <row r="6" spans="1:13" x14ac:dyDescent="0.25">
      <c r="A6">
        <v>365.05</v>
      </c>
      <c r="B6">
        <v>0.44</v>
      </c>
      <c r="C6">
        <v>0.28999999999999998</v>
      </c>
      <c r="M6">
        <f t="shared" si="0"/>
        <v>1.2121212121212122</v>
      </c>
    </row>
    <row r="7" spans="1:13" x14ac:dyDescent="0.25">
      <c r="A7">
        <v>225.57</v>
      </c>
      <c r="B7">
        <v>0.22</v>
      </c>
      <c r="C7">
        <v>0.27</v>
      </c>
      <c r="M7">
        <f t="shared" si="0"/>
        <v>0.60606060606060608</v>
      </c>
    </row>
    <row r="8" spans="1:13" x14ac:dyDescent="0.25">
      <c r="A8">
        <v>357.91</v>
      </c>
      <c r="B8">
        <v>0.19</v>
      </c>
      <c r="C8">
        <v>0.19</v>
      </c>
      <c r="M8">
        <f t="shared" si="0"/>
        <v>0.52341597796143258</v>
      </c>
    </row>
    <row r="9" spans="1:13" x14ac:dyDescent="0.25">
      <c r="A9">
        <v>256.75</v>
      </c>
      <c r="B9">
        <v>0.3</v>
      </c>
      <c r="C9">
        <v>0.23</v>
      </c>
      <c r="M9">
        <f t="shared" si="0"/>
        <v>0.82644628099173556</v>
      </c>
    </row>
    <row r="10" spans="1:13" x14ac:dyDescent="0.25">
      <c r="A10">
        <v>318.08</v>
      </c>
      <c r="B10">
        <v>0.5</v>
      </c>
      <c r="C10">
        <v>0.32</v>
      </c>
      <c r="M10">
        <f t="shared" si="0"/>
        <v>1.3774104683195594</v>
      </c>
    </row>
    <row r="11" spans="1:13" x14ac:dyDescent="0.25">
      <c r="A11">
        <v>239.69</v>
      </c>
      <c r="B11">
        <v>0.41</v>
      </c>
      <c r="C11">
        <v>0.3</v>
      </c>
      <c r="M11">
        <f t="shared" si="0"/>
        <v>1.1294765840220384</v>
      </c>
    </row>
    <row r="12" spans="1:13" x14ac:dyDescent="0.25">
      <c r="A12">
        <v>247.72</v>
      </c>
      <c r="B12">
        <v>0.39</v>
      </c>
      <c r="C12">
        <v>0.27</v>
      </c>
      <c r="M12">
        <f t="shared" si="0"/>
        <v>1.0743801652892562</v>
      </c>
    </row>
    <row r="13" spans="1:13" x14ac:dyDescent="0.25">
      <c r="A13">
        <v>308.92</v>
      </c>
      <c r="B13">
        <v>0.54</v>
      </c>
      <c r="C13">
        <v>0.32</v>
      </c>
      <c r="M13">
        <f t="shared" si="0"/>
        <v>1.4876033057851241</v>
      </c>
    </row>
    <row r="14" spans="1:13" x14ac:dyDescent="0.25">
      <c r="A14">
        <v>389.44</v>
      </c>
      <c r="B14">
        <v>0.24</v>
      </c>
      <c r="C14">
        <v>0.27</v>
      </c>
      <c r="M14">
        <f t="shared" si="0"/>
        <v>0.66115702479338845</v>
      </c>
    </row>
    <row r="15" spans="1:13" x14ac:dyDescent="0.25">
      <c r="A15">
        <v>333</v>
      </c>
      <c r="B15">
        <v>0.09</v>
      </c>
      <c r="C15">
        <v>0.17</v>
      </c>
      <c r="M15">
        <f t="shared" si="0"/>
        <v>0.24793388429752067</v>
      </c>
    </row>
    <row r="16" spans="1:13" x14ac:dyDescent="0.25">
      <c r="A16">
        <v>320.86</v>
      </c>
      <c r="B16">
        <v>0.57999999999999996</v>
      </c>
      <c r="C16">
        <v>0.35</v>
      </c>
      <c r="M16">
        <f t="shared" si="0"/>
        <v>1.5977961432506886</v>
      </c>
    </row>
    <row r="17" spans="1:13" x14ac:dyDescent="0.25">
      <c r="A17">
        <v>371.11</v>
      </c>
      <c r="B17">
        <v>0.1</v>
      </c>
      <c r="C17">
        <v>0.17</v>
      </c>
      <c r="M17">
        <f t="shared" si="0"/>
        <v>0.27548209366391185</v>
      </c>
    </row>
    <row r="18" spans="1:13" x14ac:dyDescent="0.25">
      <c r="A18">
        <v>339.65</v>
      </c>
      <c r="B18">
        <v>0.71</v>
      </c>
      <c r="C18">
        <v>0.39</v>
      </c>
      <c r="M18">
        <f t="shared" si="0"/>
        <v>1.9559228650137741</v>
      </c>
    </row>
    <row r="19" spans="1:13" x14ac:dyDescent="0.25">
      <c r="A19">
        <v>272.13</v>
      </c>
      <c r="B19">
        <v>0.04</v>
      </c>
      <c r="C19">
        <v>0.24</v>
      </c>
      <c r="M19">
        <f t="shared" si="0"/>
        <v>0.11019283746556474</v>
      </c>
    </row>
    <row r="20" spans="1:13" x14ac:dyDescent="0.25">
      <c r="A20">
        <v>435.29</v>
      </c>
      <c r="B20">
        <v>0.46</v>
      </c>
      <c r="C20">
        <v>0.28000000000000003</v>
      </c>
      <c r="M20">
        <f t="shared" si="0"/>
        <v>1.2672176308539946</v>
      </c>
    </row>
    <row r="21" spans="1:13" x14ac:dyDescent="0.25">
      <c r="A21">
        <v>0</v>
      </c>
      <c r="B21">
        <v>0.5</v>
      </c>
      <c r="C21">
        <v>0.31</v>
      </c>
      <c r="M21">
        <f t="shared" si="0"/>
        <v>1.3774104683195594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4"/>
  <dimension ref="A1:M21"/>
  <sheetViews>
    <sheetView workbookViewId="0">
      <selection activeCell="M21" sqref="M21"/>
    </sheetView>
  </sheetViews>
  <sheetFormatPr defaultRowHeight="14.4" x14ac:dyDescent="0.3"/>
  <sheetData>
    <row r="1" spans="1:13" x14ac:dyDescent="0.25">
      <c r="A1" t="s">
        <v>0</v>
      </c>
      <c r="B1" t="s">
        <v>1</v>
      </c>
      <c r="C1" t="s">
        <v>2</v>
      </c>
    </row>
    <row r="2" spans="1:13" x14ac:dyDescent="0.25">
      <c r="A2">
        <v>29.91</v>
      </c>
      <c r="B2">
        <v>0.19</v>
      </c>
      <c r="C2">
        <v>0.19</v>
      </c>
      <c r="M2">
        <f t="shared" ref="M2:M21" si="0">B2/0.363</f>
        <v>0.52341597796143258</v>
      </c>
    </row>
    <row r="3" spans="1:13" x14ac:dyDescent="0.25">
      <c r="A3">
        <v>30.28</v>
      </c>
      <c r="B3">
        <v>0.01</v>
      </c>
      <c r="C3">
        <v>0.16</v>
      </c>
      <c r="M3">
        <f t="shared" si="0"/>
        <v>2.7548209366391185E-2</v>
      </c>
    </row>
    <row r="4" spans="1:13" x14ac:dyDescent="0.25">
      <c r="A4">
        <v>32.799999999999997</v>
      </c>
      <c r="B4">
        <v>0.21</v>
      </c>
      <c r="C4">
        <v>0.22</v>
      </c>
      <c r="M4">
        <f t="shared" si="0"/>
        <v>0.57851239669421484</v>
      </c>
    </row>
    <row r="5" spans="1:13" x14ac:dyDescent="0.25">
      <c r="A5">
        <v>23.52</v>
      </c>
      <c r="B5">
        <v>0.4</v>
      </c>
      <c r="C5">
        <v>0.28000000000000003</v>
      </c>
      <c r="M5">
        <f t="shared" si="0"/>
        <v>1.1019283746556474</v>
      </c>
    </row>
    <row r="6" spans="1:13" x14ac:dyDescent="0.25">
      <c r="A6">
        <v>35.93</v>
      </c>
      <c r="B6">
        <v>0.38</v>
      </c>
      <c r="C6">
        <v>0.26</v>
      </c>
      <c r="M6">
        <f t="shared" si="0"/>
        <v>1.0468319559228652</v>
      </c>
    </row>
    <row r="7" spans="1:13" x14ac:dyDescent="0.25">
      <c r="A7">
        <v>31.99</v>
      </c>
      <c r="B7">
        <v>0.26</v>
      </c>
      <c r="C7">
        <v>0.26</v>
      </c>
      <c r="M7">
        <f t="shared" si="0"/>
        <v>0.71625344352617082</v>
      </c>
    </row>
    <row r="8" spans="1:13" x14ac:dyDescent="0.25">
      <c r="A8">
        <v>58.15</v>
      </c>
      <c r="B8">
        <v>0.02</v>
      </c>
      <c r="C8">
        <v>0.16</v>
      </c>
      <c r="M8">
        <f t="shared" si="0"/>
        <v>5.5096418732782371E-2</v>
      </c>
    </row>
    <row r="9" spans="1:13" x14ac:dyDescent="0.25">
      <c r="A9">
        <v>28.15</v>
      </c>
      <c r="B9">
        <v>0.02</v>
      </c>
      <c r="C9">
        <v>0.16</v>
      </c>
      <c r="M9">
        <f t="shared" si="0"/>
        <v>5.5096418732782371E-2</v>
      </c>
    </row>
    <row r="10" spans="1:13" x14ac:dyDescent="0.25">
      <c r="A10">
        <v>100.04</v>
      </c>
      <c r="B10">
        <v>0.01</v>
      </c>
      <c r="C10">
        <v>0.15</v>
      </c>
      <c r="M10">
        <f t="shared" si="0"/>
        <v>2.7548209366391185E-2</v>
      </c>
    </row>
    <row r="11" spans="1:13" x14ac:dyDescent="0.25">
      <c r="A11">
        <v>26.99</v>
      </c>
      <c r="B11">
        <v>0.46</v>
      </c>
      <c r="C11">
        <v>0.28000000000000003</v>
      </c>
      <c r="M11">
        <f t="shared" si="0"/>
        <v>1.2672176308539946</v>
      </c>
    </row>
    <row r="12" spans="1:13" x14ac:dyDescent="0.25">
      <c r="A12">
        <v>18.13</v>
      </c>
      <c r="B12">
        <v>0.11</v>
      </c>
      <c r="C12">
        <v>0.18</v>
      </c>
      <c r="M12">
        <f t="shared" si="0"/>
        <v>0.30303030303030304</v>
      </c>
    </row>
    <row r="13" spans="1:13" x14ac:dyDescent="0.25">
      <c r="A13">
        <v>29.77</v>
      </c>
      <c r="B13">
        <v>0.2</v>
      </c>
      <c r="C13">
        <v>0.21</v>
      </c>
      <c r="M13">
        <f t="shared" si="0"/>
        <v>0.55096418732782371</v>
      </c>
    </row>
    <row r="14" spans="1:13" x14ac:dyDescent="0.25">
      <c r="A14">
        <v>12.15</v>
      </c>
      <c r="B14">
        <v>0.02</v>
      </c>
      <c r="C14">
        <v>0.15</v>
      </c>
      <c r="M14">
        <f t="shared" si="0"/>
        <v>5.5096418732782371E-2</v>
      </c>
    </row>
    <row r="15" spans="1:13" x14ac:dyDescent="0.25">
      <c r="A15">
        <v>39.18</v>
      </c>
      <c r="B15">
        <v>0.34</v>
      </c>
      <c r="C15">
        <v>0.24</v>
      </c>
      <c r="M15">
        <f t="shared" si="0"/>
        <v>0.93663911845730041</v>
      </c>
    </row>
    <row r="16" spans="1:13" x14ac:dyDescent="0.25">
      <c r="A16">
        <v>32.74</v>
      </c>
      <c r="B16">
        <v>0.11</v>
      </c>
      <c r="C16">
        <v>0.17</v>
      </c>
      <c r="M16">
        <f t="shared" si="0"/>
        <v>0.30303030303030304</v>
      </c>
    </row>
    <row r="17" spans="1:13" x14ac:dyDescent="0.25">
      <c r="A17">
        <v>30.96</v>
      </c>
      <c r="B17">
        <v>0.01</v>
      </c>
      <c r="C17">
        <v>0.19</v>
      </c>
      <c r="M17">
        <f t="shared" si="0"/>
        <v>2.7548209366391185E-2</v>
      </c>
    </row>
    <row r="18" spans="1:13" x14ac:dyDescent="0.25">
      <c r="A18">
        <v>39.840000000000003</v>
      </c>
      <c r="B18">
        <v>0.02</v>
      </c>
      <c r="C18">
        <v>0.16</v>
      </c>
      <c r="M18">
        <f t="shared" si="0"/>
        <v>5.5096418732782371E-2</v>
      </c>
    </row>
    <row r="19" spans="1:13" x14ac:dyDescent="0.25">
      <c r="A19">
        <v>67.38</v>
      </c>
      <c r="B19">
        <v>0.01</v>
      </c>
      <c r="C19">
        <v>0.16</v>
      </c>
      <c r="M19">
        <f t="shared" si="0"/>
        <v>2.7548209366391185E-2</v>
      </c>
    </row>
    <row r="20" spans="1:13" x14ac:dyDescent="0.25">
      <c r="A20">
        <v>36.729999999999997</v>
      </c>
      <c r="B20">
        <v>0.18</v>
      </c>
      <c r="C20">
        <v>0.2</v>
      </c>
      <c r="M20">
        <f t="shared" si="0"/>
        <v>0.49586776859504134</v>
      </c>
    </row>
    <row r="21" spans="1:13" x14ac:dyDescent="0.25">
      <c r="A21">
        <v>32.450000000000003</v>
      </c>
      <c r="B21">
        <v>0.25</v>
      </c>
      <c r="C21">
        <v>0.26</v>
      </c>
      <c r="M21">
        <f t="shared" si="0"/>
        <v>0.68870523415977969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9"/>
  <dimension ref="A1:M21"/>
  <sheetViews>
    <sheetView workbookViewId="0">
      <selection activeCell="M21" sqref="M21"/>
    </sheetView>
  </sheetViews>
  <sheetFormatPr defaultRowHeight="14.4" x14ac:dyDescent="0.3"/>
  <cols>
    <col min="6" max="6" width="12" bestFit="1" customWidth="1"/>
  </cols>
  <sheetData>
    <row r="1" spans="1:13" x14ac:dyDescent="0.25">
      <c r="A1" t="s">
        <v>0</v>
      </c>
      <c r="B1" t="s">
        <v>1</v>
      </c>
      <c r="C1" t="s">
        <v>2</v>
      </c>
      <c r="F1" t="s">
        <v>31</v>
      </c>
    </row>
    <row r="2" spans="1:13" x14ac:dyDescent="0.25">
      <c r="A2">
        <v>34.44</v>
      </c>
      <c r="B2">
        <v>0.01</v>
      </c>
      <c r="C2">
        <v>0.15</v>
      </c>
      <c r="F2" s="3">
        <f>_xlfn.T.TEST(B2:B21,control!B2:B21,1,3)</f>
        <v>7.1798488814735596E-8</v>
      </c>
      <c r="M2">
        <f t="shared" ref="M2:M21" si="0">B2/0.363</f>
        <v>2.7548209366391185E-2</v>
      </c>
    </row>
    <row r="3" spans="1:13" x14ac:dyDescent="0.25">
      <c r="A3">
        <v>60.19</v>
      </c>
      <c r="B3">
        <v>0.01</v>
      </c>
      <c r="C3">
        <v>0.14000000000000001</v>
      </c>
      <c r="M3">
        <f t="shared" si="0"/>
        <v>2.7548209366391185E-2</v>
      </c>
    </row>
    <row r="4" spans="1:13" x14ac:dyDescent="0.25">
      <c r="A4">
        <v>40.39</v>
      </c>
      <c r="B4">
        <v>0</v>
      </c>
      <c r="C4">
        <v>0.15</v>
      </c>
      <c r="M4">
        <f t="shared" si="0"/>
        <v>0</v>
      </c>
    </row>
    <row r="5" spans="1:13" x14ac:dyDescent="0.25">
      <c r="A5">
        <v>43.31</v>
      </c>
      <c r="B5">
        <v>0.01</v>
      </c>
      <c r="C5">
        <v>0.13</v>
      </c>
      <c r="M5">
        <f t="shared" si="0"/>
        <v>2.7548209366391185E-2</v>
      </c>
    </row>
    <row r="6" spans="1:13" x14ac:dyDescent="0.25">
      <c r="A6">
        <v>46.88</v>
      </c>
      <c r="B6">
        <v>0.01</v>
      </c>
      <c r="C6">
        <v>0.15</v>
      </c>
      <c r="M6">
        <f t="shared" si="0"/>
        <v>2.7548209366391185E-2</v>
      </c>
    </row>
    <row r="7" spans="1:13" x14ac:dyDescent="0.25">
      <c r="A7">
        <v>53.22</v>
      </c>
      <c r="B7">
        <v>0.01</v>
      </c>
      <c r="C7">
        <v>0.12</v>
      </c>
      <c r="M7">
        <f t="shared" si="0"/>
        <v>2.7548209366391185E-2</v>
      </c>
    </row>
    <row r="8" spans="1:13" x14ac:dyDescent="0.25">
      <c r="A8">
        <v>56.18</v>
      </c>
      <c r="B8">
        <v>0.01</v>
      </c>
      <c r="C8">
        <v>0.13</v>
      </c>
      <c r="M8">
        <f t="shared" si="0"/>
        <v>2.7548209366391185E-2</v>
      </c>
    </row>
    <row r="9" spans="1:13" x14ac:dyDescent="0.25">
      <c r="A9">
        <v>70.150000000000006</v>
      </c>
      <c r="B9">
        <v>0.01</v>
      </c>
      <c r="C9">
        <v>0.13</v>
      </c>
      <c r="M9">
        <f t="shared" si="0"/>
        <v>2.7548209366391185E-2</v>
      </c>
    </row>
    <row r="10" spans="1:13" x14ac:dyDescent="0.25">
      <c r="A10">
        <v>58.47</v>
      </c>
      <c r="B10">
        <v>0.09</v>
      </c>
      <c r="C10">
        <v>0.16</v>
      </c>
      <c r="M10">
        <f t="shared" si="0"/>
        <v>0.24793388429752067</v>
      </c>
    </row>
    <row r="11" spans="1:13" x14ac:dyDescent="0.25">
      <c r="A11">
        <v>75.73</v>
      </c>
      <c r="B11">
        <v>0</v>
      </c>
      <c r="C11">
        <v>0.13</v>
      </c>
      <c r="M11">
        <f t="shared" si="0"/>
        <v>0</v>
      </c>
    </row>
    <row r="12" spans="1:13" x14ac:dyDescent="0.25">
      <c r="A12">
        <v>55.19</v>
      </c>
      <c r="B12">
        <v>0.01</v>
      </c>
      <c r="C12">
        <v>0.12</v>
      </c>
      <c r="M12">
        <f t="shared" si="0"/>
        <v>2.7548209366391185E-2</v>
      </c>
    </row>
    <row r="13" spans="1:13" x14ac:dyDescent="0.25">
      <c r="A13">
        <v>83.52</v>
      </c>
      <c r="B13">
        <v>0.01</v>
      </c>
      <c r="C13">
        <v>0.15</v>
      </c>
      <c r="M13">
        <f t="shared" si="0"/>
        <v>2.7548209366391185E-2</v>
      </c>
    </row>
    <row r="14" spans="1:13" x14ac:dyDescent="0.25">
      <c r="A14">
        <v>65.8</v>
      </c>
      <c r="B14">
        <v>0.01</v>
      </c>
      <c r="C14">
        <v>0.12</v>
      </c>
      <c r="M14">
        <f t="shared" si="0"/>
        <v>2.7548209366391185E-2</v>
      </c>
    </row>
    <row r="15" spans="1:13" x14ac:dyDescent="0.25">
      <c r="A15">
        <v>84.6</v>
      </c>
      <c r="B15">
        <v>0</v>
      </c>
      <c r="C15">
        <v>0.14000000000000001</v>
      </c>
      <c r="M15">
        <f t="shared" si="0"/>
        <v>0</v>
      </c>
    </row>
    <row r="16" spans="1:13" x14ac:dyDescent="0.25">
      <c r="A16">
        <v>77.92</v>
      </c>
      <c r="B16">
        <v>0.03</v>
      </c>
      <c r="C16">
        <v>0.15</v>
      </c>
      <c r="M16">
        <f t="shared" si="0"/>
        <v>8.2644628099173556E-2</v>
      </c>
    </row>
    <row r="17" spans="1:13" x14ac:dyDescent="0.25">
      <c r="A17">
        <v>83.67</v>
      </c>
      <c r="B17">
        <v>0</v>
      </c>
      <c r="C17">
        <v>0.14000000000000001</v>
      </c>
      <c r="M17">
        <f t="shared" si="0"/>
        <v>0</v>
      </c>
    </row>
    <row r="18" spans="1:13" x14ac:dyDescent="0.25">
      <c r="A18">
        <v>94.46</v>
      </c>
      <c r="B18">
        <v>0.02</v>
      </c>
      <c r="C18">
        <v>0.17</v>
      </c>
      <c r="M18">
        <f t="shared" si="0"/>
        <v>5.5096418732782371E-2</v>
      </c>
    </row>
    <row r="19" spans="1:13" x14ac:dyDescent="0.25">
      <c r="A19">
        <v>88.81</v>
      </c>
      <c r="B19">
        <v>0.04</v>
      </c>
      <c r="C19">
        <v>0.14000000000000001</v>
      </c>
      <c r="M19">
        <f t="shared" si="0"/>
        <v>0.11019283746556474</v>
      </c>
    </row>
    <row r="20" spans="1:13" x14ac:dyDescent="0.25">
      <c r="A20">
        <v>79.069999999999993</v>
      </c>
      <c r="B20">
        <v>0.02</v>
      </c>
      <c r="C20">
        <v>0.16</v>
      </c>
      <c r="M20">
        <f t="shared" si="0"/>
        <v>5.5096418732782371E-2</v>
      </c>
    </row>
    <row r="21" spans="1:13" x14ac:dyDescent="0.25">
      <c r="A21">
        <v>88.57</v>
      </c>
      <c r="B21">
        <v>0</v>
      </c>
      <c r="C21">
        <v>0.14000000000000001</v>
      </c>
      <c r="M21">
        <f t="shared" si="0"/>
        <v>0</v>
      </c>
    </row>
  </sheetData>
  <pageMargins left="0.7" right="0.7" top="0.75" bottom="0.75" header="0.3" footer="0.3"/>
  <pageSetup paperSize="0" orientation="portrait" horizontalDpi="0" verticalDpi="0" copie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5"/>
  <dimension ref="A1:M21"/>
  <sheetViews>
    <sheetView workbookViewId="0">
      <selection activeCell="M21" sqref="M21"/>
    </sheetView>
  </sheetViews>
  <sheetFormatPr defaultRowHeight="14.4" x14ac:dyDescent="0.3"/>
  <sheetData>
    <row r="1" spans="1:13" x14ac:dyDescent="0.25">
      <c r="A1" t="s">
        <v>0</v>
      </c>
      <c r="B1" t="s">
        <v>1</v>
      </c>
      <c r="C1" t="s">
        <v>2</v>
      </c>
    </row>
    <row r="2" spans="1:13" x14ac:dyDescent="0.25">
      <c r="A2">
        <v>12.83</v>
      </c>
      <c r="B2">
        <v>0.01</v>
      </c>
      <c r="C2">
        <v>0.15</v>
      </c>
      <c r="M2">
        <f t="shared" ref="M2:M21" si="0">B2/0.363</f>
        <v>2.7548209366391185E-2</v>
      </c>
    </row>
    <row r="3" spans="1:13" x14ac:dyDescent="0.25">
      <c r="A3">
        <v>10.11</v>
      </c>
      <c r="B3">
        <v>0.04</v>
      </c>
      <c r="C3">
        <v>0.17</v>
      </c>
      <c r="M3">
        <f t="shared" si="0"/>
        <v>0.11019283746556474</v>
      </c>
    </row>
    <row r="4" spans="1:13" x14ac:dyDescent="0.25">
      <c r="A4">
        <v>13.18</v>
      </c>
      <c r="B4">
        <v>0</v>
      </c>
      <c r="C4">
        <v>0.14000000000000001</v>
      </c>
      <c r="M4">
        <f t="shared" si="0"/>
        <v>0</v>
      </c>
    </row>
    <row r="5" spans="1:13" x14ac:dyDescent="0.25">
      <c r="A5">
        <v>9.57</v>
      </c>
      <c r="B5">
        <v>0.01</v>
      </c>
      <c r="C5">
        <v>0.13</v>
      </c>
      <c r="M5">
        <f t="shared" si="0"/>
        <v>2.7548209366391185E-2</v>
      </c>
    </row>
    <row r="6" spans="1:13" x14ac:dyDescent="0.25">
      <c r="A6">
        <v>10.6</v>
      </c>
      <c r="B6">
        <v>0.01</v>
      </c>
      <c r="C6">
        <v>0.15</v>
      </c>
      <c r="M6">
        <f t="shared" si="0"/>
        <v>2.7548209366391185E-2</v>
      </c>
    </row>
    <row r="7" spans="1:13" x14ac:dyDescent="0.25">
      <c r="A7">
        <v>10.130000000000001</v>
      </c>
      <c r="B7">
        <v>0</v>
      </c>
      <c r="C7">
        <v>0.12</v>
      </c>
      <c r="M7">
        <f t="shared" si="0"/>
        <v>0</v>
      </c>
    </row>
    <row r="8" spans="1:13" x14ac:dyDescent="0.25">
      <c r="A8">
        <v>9.8800000000000008</v>
      </c>
      <c r="B8">
        <v>0</v>
      </c>
      <c r="C8">
        <v>0.12</v>
      </c>
      <c r="M8">
        <f t="shared" si="0"/>
        <v>0</v>
      </c>
    </row>
    <row r="9" spans="1:13" x14ac:dyDescent="0.25">
      <c r="A9">
        <v>11.35</v>
      </c>
      <c r="B9">
        <v>0.01</v>
      </c>
      <c r="C9">
        <v>0.12</v>
      </c>
      <c r="M9">
        <f t="shared" si="0"/>
        <v>2.7548209366391185E-2</v>
      </c>
    </row>
    <row r="10" spans="1:13" x14ac:dyDescent="0.25">
      <c r="A10">
        <v>10.78</v>
      </c>
      <c r="B10">
        <v>0</v>
      </c>
      <c r="C10">
        <v>0.12</v>
      </c>
      <c r="M10">
        <f t="shared" si="0"/>
        <v>0</v>
      </c>
    </row>
    <row r="11" spans="1:13" x14ac:dyDescent="0.25">
      <c r="A11">
        <v>17.48</v>
      </c>
      <c r="B11">
        <v>0.02</v>
      </c>
      <c r="C11">
        <v>0.15</v>
      </c>
      <c r="M11">
        <f t="shared" si="0"/>
        <v>5.5096418732782371E-2</v>
      </c>
    </row>
    <row r="12" spans="1:13" x14ac:dyDescent="0.25">
      <c r="A12">
        <v>11.18</v>
      </c>
      <c r="B12">
        <v>0.01</v>
      </c>
      <c r="C12">
        <v>0.13</v>
      </c>
      <c r="M12">
        <f t="shared" si="0"/>
        <v>2.7548209366391185E-2</v>
      </c>
    </row>
    <row r="13" spans="1:13" x14ac:dyDescent="0.25">
      <c r="A13">
        <v>15.28</v>
      </c>
      <c r="B13">
        <v>0.03</v>
      </c>
      <c r="C13">
        <v>0.16</v>
      </c>
      <c r="M13">
        <f t="shared" si="0"/>
        <v>8.2644628099173556E-2</v>
      </c>
    </row>
    <row r="14" spans="1:13" x14ac:dyDescent="0.25">
      <c r="A14">
        <v>14.43</v>
      </c>
      <c r="B14">
        <v>0.01</v>
      </c>
      <c r="C14">
        <v>0.14000000000000001</v>
      </c>
      <c r="M14">
        <f t="shared" si="0"/>
        <v>2.7548209366391185E-2</v>
      </c>
    </row>
    <row r="15" spans="1:13" x14ac:dyDescent="0.25">
      <c r="A15">
        <v>14.69</v>
      </c>
      <c r="B15">
        <v>0</v>
      </c>
      <c r="C15">
        <v>0.13</v>
      </c>
      <c r="M15">
        <f t="shared" si="0"/>
        <v>0</v>
      </c>
    </row>
    <row r="16" spans="1:13" x14ac:dyDescent="0.25">
      <c r="A16">
        <v>14.52</v>
      </c>
      <c r="B16">
        <v>0.01</v>
      </c>
      <c r="C16">
        <v>0.14000000000000001</v>
      </c>
      <c r="M16">
        <f t="shared" si="0"/>
        <v>2.7548209366391185E-2</v>
      </c>
    </row>
    <row r="17" spans="1:13" x14ac:dyDescent="0.25">
      <c r="A17">
        <v>13.1</v>
      </c>
      <c r="B17">
        <v>0.02</v>
      </c>
      <c r="C17">
        <v>0.15</v>
      </c>
      <c r="M17">
        <f t="shared" si="0"/>
        <v>5.5096418732782371E-2</v>
      </c>
    </row>
    <row r="18" spans="1:13" x14ac:dyDescent="0.25">
      <c r="A18">
        <v>10.35</v>
      </c>
      <c r="B18">
        <v>0.01</v>
      </c>
      <c r="C18">
        <v>0.13</v>
      </c>
      <c r="M18">
        <f t="shared" si="0"/>
        <v>2.7548209366391185E-2</v>
      </c>
    </row>
    <row r="19" spans="1:13" x14ac:dyDescent="0.25">
      <c r="A19">
        <v>21.44</v>
      </c>
      <c r="B19">
        <v>0.04</v>
      </c>
      <c r="C19">
        <v>0.17</v>
      </c>
      <c r="M19">
        <f t="shared" si="0"/>
        <v>0.11019283746556474</v>
      </c>
    </row>
    <row r="20" spans="1:13" x14ac:dyDescent="0.25">
      <c r="A20">
        <v>13.77</v>
      </c>
      <c r="B20">
        <v>0.01</v>
      </c>
      <c r="C20">
        <v>0.13</v>
      </c>
      <c r="M20">
        <f t="shared" si="0"/>
        <v>2.7548209366391185E-2</v>
      </c>
    </row>
    <row r="21" spans="1:13" x14ac:dyDescent="0.25">
      <c r="A21">
        <v>22.03</v>
      </c>
      <c r="B21">
        <v>0.02</v>
      </c>
      <c r="C21">
        <v>0.15</v>
      </c>
      <c r="M21">
        <f t="shared" si="0"/>
        <v>5.5096418732782371E-2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6"/>
  <dimension ref="A1:M21"/>
  <sheetViews>
    <sheetView workbookViewId="0">
      <selection activeCell="M21" sqref="M21"/>
    </sheetView>
  </sheetViews>
  <sheetFormatPr defaultRowHeight="14.4" x14ac:dyDescent="0.3"/>
  <sheetData>
    <row r="1" spans="1:13" x14ac:dyDescent="0.25">
      <c r="A1" t="s">
        <v>0</v>
      </c>
      <c r="B1" t="s">
        <v>1</v>
      </c>
      <c r="C1" t="s">
        <v>2</v>
      </c>
      <c r="F1" t="s">
        <v>25</v>
      </c>
    </row>
    <row r="2" spans="1:13" x14ac:dyDescent="0.25">
      <c r="A2">
        <v>338.91</v>
      </c>
      <c r="B2">
        <v>0.68</v>
      </c>
      <c r="C2">
        <v>0.37</v>
      </c>
      <c r="F2">
        <f>_xlfn.T.TEST(B2:B21,control!B2:B21,1,3)</f>
        <v>5.6239940281825112E-3</v>
      </c>
      <c r="M2">
        <f t="shared" ref="M2:M21" si="0">B2/0.363</f>
        <v>1.8732782369146008</v>
      </c>
    </row>
    <row r="3" spans="1:13" x14ac:dyDescent="0.25">
      <c r="A3">
        <v>460.37</v>
      </c>
      <c r="B3">
        <v>0.42</v>
      </c>
      <c r="C3">
        <v>0.38</v>
      </c>
      <c r="M3">
        <f t="shared" si="0"/>
        <v>1.1570247933884297</v>
      </c>
    </row>
    <row r="4" spans="1:13" x14ac:dyDescent="0.25">
      <c r="A4">
        <v>258.39</v>
      </c>
      <c r="B4">
        <v>0.05</v>
      </c>
      <c r="C4">
        <v>0.16</v>
      </c>
      <c r="M4">
        <f t="shared" si="0"/>
        <v>0.13774104683195593</v>
      </c>
    </row>
    <row r="5" spans="1:13" x14ac:dyDescent="0.25">
      <c r="A5">
        <v>272.10000000000002</v>
      </c>
      <c r="B5">
        <v>0.53</v>
      </c>
      <c r="C5">
        <v>0.32</v>
      </c>
      <c r="M5">
        <f t="shared" si="0"/>
        <v>1.4600550964187329</v>
      </c>
    </row>
    <row r="6" spans="1:13" x14ac:dyDescent="0.25">
      <c r="A6">
        <v>222.09</v>
      </c>
      <c r="B6">
        <v>0.85</v>
      </c>
      <c r="C6">
        <v>0.45</v>
      </c>
      <c r="M6">
        <f t="shared" si="0"/>
        <v>2.3415977961432506</v>
      </c>
    </row>
    <row r="7" spans="1:13" x14ac:dyDescent="0.25">
      <c r="A7">
        <v>395.99</v>
      </c>
      <c r="B7">
        <v>0.5</v>
      </c>
      <c r="C7">
        <v>0.3</v>
      </c>
      <c r="M7">
        <f t="shared" si="0"/>
        <v>1.3774104683195594</v>
      </c>
    </row>
    <row r="8" spans="1:13" x14ac:dyDescent="0.25">
      <c r="A8">
        <v>243.42</v>
      </c>
      <c r="B8">
        <v>0.91</v>
      </c>
      <c r="C8">
        <v>0.47</v>
      </c>
      <c r="M8">
        <f t="shared" si="0"/>
        <v>2.506887052341598</v>
      </c>
    </row>
    <row r="9" spans="1:13" x14ac:dyDescent="0.25">
      <c r="A9">
        <v>384.76</v>
      </c>
      <c r="B9">
        <v>0.79</v>
      </c>
      <c r="C9">
        <v>0.42</v>
      </c>
      <c r="M9">
        <f t="shared" si="0"/>
        <v>2.1763085399449036</v>
      </c>
    </row>
    <row r="10" spans="1:13" x14ac:dyDescent="0.25">
      <c r="A10">
        <v>310.94</v>
      </c>
      <c r="B10">
        <v>0.66</v>
      </c>
      <c r="C10">
        <v>0.36</v>
      </c>
      <c r="M10">
        <f t="shared" si="0"/>
        <v>1.8181818181818183</v>
      </c>
    </row>
    <row r="11" spans="1:13" x14ac:dyDescent="0.25">
      <c r="A11">
        <v>219.79</v>
      </c>
      <c r="B11">
        <v>0.88</v>
      </c>
      <c r="C11">
        <v>0.45</v>
      </c>
      <c r="M11">
        <f t="shared" si="0"/>
        <v>2.4242424242424243</v>
      </c>
    </row>
    <row r="12" spans="1:13" x14ac:dyDescent="0.25">
      <c r="A12">
        <v>238.65</v>
      </c>
      <c r="B12">
        <v>0.38</v>
      </c>
      <c r="C12">
        <v>0.25</v>
      </c>
      <c r="M12">
        <f t="shared" si="0"/>
        <v>1.0468319559228652</v>
      </c>
    </row>
    <row r="13" spans="1:13" x14ac:dyDescent="0.25">
      <c r="A13">
        <v>306.67</v>
      </c>
      <c r="B13">
        <v>0.3</v>
      </c>
      <c r="C13">
        <v>0.22</v>
      </c>
      <c r="M13">
        <f t="shared" si="0"/>
        <v>0.82644628099173556</v>
      </c>
    </row>
    <row r="14" spans="1:13" x14ac:dyDescent="0.25">
      <c r="A14">
        <v>255.61</v>
      </c>
      <c r="B14">
        <v>0.64</v>
      </c>
      <c r="C14">
        <v>0.35</v>
      </c>
      <c r="M14">
        <f t="shared" si="0"/>
        <v>1.7630853994490359</v>
      </c>
    </row>
    <row r="15" spans="1:13" x14ac:dyDescent="0.25">
      <c r="A15">
        <v>362.53</v>
      </c>
      <c r="B15">
        <v>0.31</v>
      </c>
      <c r="C15">
        <v>0.23</v>
      </c>
      <c r="M15">
        <f t="shared" si="0"/>
        <v>0.85399449035812669</v>
      </c>
    </row>
    <row r="16" spans="1:13" x14ac:dyDescent="0.25">
      <c r="A16">
        <v>391.36</v>
      </c>
      <c r="B16">
        <v>0.64</v>
      </c>
      <c r="C16">
        <v>0.37</v>
      </c>
      <c r="M16">
        <f t="shared" si="0"/>
        <v>1.7630853994490359</v>
      </c>
    </row>
    <row r="17" spans="1:13" x14ac:dyDescent="0.25">
      <c r="A17">
        <v>311.29000000000002</v>
      </c>
      <c r="B17">
        <v>0.33</v>
      </c>
      <c r="C17">
        <v>0.24</v>
      </c>
      <c r="M17">
        <f t="shared" si="0"/>
        <v>0.90909090909090917</v>
      </c>
    </row>
    <row r="18" spans="1:13" x14ac:dyDescent="0.25">
      <c r="A18">
        <v>435.97</v>
      </c>
      <c r="B18">
        <v>0.75</v>
      </c>
      <c r="C18">
        <v>0.4</v>
      </c>
      <c r="M18">
        <f t="shared" si="0"/>
        <v>2.0661157024793391</v>
      </c>
    </row>
    <row r="19" spans="1:13" x14ac:dyDescent="0.25">
      <c r="A19">
        <v>461.64</v>
      </c>
      <c r="B19">
        <v>0.56000000000000005</v>
      </c>
      <c r="C19">
        <v>0.32</v>
      </c>
      <c r="M19">
        <f t="shared" si="0"/>
        <v>1.5426997245179066</v>
      </c>
    </row>
    <row r="20" spans="1:13" x14ac:dyDescent="0.25">
      <c r="A20">
        <v>435.97</v>
      </c>
      <c r="B20">
        <v>0.23</v>
      </c>
      <c r="C20">
        <v>0.25</v>
      </c>
      <c r="M20">
        <f t="shared" si="0"/>
        <v>0.63360881542699732</v>
      </c>
    </row>
    <row r="21" spans="1:13" x14ac:dyDescent="0.25">
      <c r="A21">
        <v>347.48</v>
      </c>
      <c r="B21">
        <v>0.48</v>
      </c>
      <c r="C21">
        <v>0.3</v>
      </c>
      <c r="M21">
        <f t="shared" si="0"/>
        <v>1.3223140495867769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1"/>
  <dimension ref="A1:M21"/>
  <sheetViews>
    <sheetView workbookViewId="0">
      <selection activeCell="M21" sqref="M21"/>
    </sheetView>
  </sheetViews>
  <sheetFormatPr defaultRowHeight="14.4" x14ac:dyDescent="0.3"/>
  <sheetData>
    <row r="1" spans="1:13" x14ac:dyDescent="0.25">
      <c r="A1" t="s">
        <v>0</v>
      </c>
      <c r="B1" t="s">
        <v>1</v>
      </c>
      <c r="C1" t="s">
        <v>2</v>
      </c>
      <c r="F1" t="s">
        <v>28</v>
      </c>
    </row>
    <row r="2" spans="1:13" x14ac:dyDescent="0.25">
      <c r="A2">
        <v>20.260000000000002</v>
      </c>
      <c r="B2">
        <v>0.18</v>
      </c>
      <c r="C2">
        <v>0.19</v>
      </c>
      <c r="F2">
        <f>_xlfn.T.TEST(B2:B21,'low-iteration'!B2:B21,1,3)</f>
        <v>0.20100436720453746</v>
      </c>
      <c r="M2">
        <f t="shared" ref="M2:M21" si="0">B2/0.363</f>
        <v>0.49586776859504134</v>
      </c>
    </row>
    <row r="3" spans="1:13" x14ac:dyDescent="0.25">
      <c r="A3">
        <v>28.42</v>
      </c>
      <c r="B3">
        <v>0.02</v>
      </c>
      <c r="C3">
        <v>0.15</v>
      </c>
      <c r="M3">
        <f t="shared" si="0"/>
        <v>5.5096418732782371E-2</v>
      </c>
    </row>
    <row r="4" spans="1:13" x14ac:dyDescent="0.25">
      <c r="A4">
        <v>29.33</v>
      </c>
      <c r="B4">
        <v>0.05</v>
      </c>
      <c r="C4">
        <v>0.18</v>
      </c>
      <c r="M4">
        <f t="shared" si="0"/>
        <v>0.13774104683195593</v>
      </c>
    </row>
    <row r="5" spans="1:13" x14ac:dyDescent="0.25">
      <c r="A5">
        <v>59.65</v>
      </c>
      <c r="B5">
        <v>0.28999999999999998</v>
      </c>
      <c r="C5">
        <v>0.23</v>
      </c>
      <c r="M5">
        <f t="shared" si="0"/>
        <v>0.79889807162534432</v>
      </c>
    </row>
    <row r="6" spans="1:13" x14ac:dyDescent="0.25">
      <c r="A6">
        <v>17.96</v>
      </c>
      <c r="B6">
        <v>0.19</v>
      </c>
      <c r="C6">
        <v>0.2</v>
      </c>
      <c r="M6">
        <f t="shared" si="0"/>
        <v>0.52341597796143258</v>
      </c>
    </row>
    <row r="7" spans="1:13" x14ac:dyDescent="0.25">
      <c r="A7">
        <v>35.96</v>
      </c>
      <c r="B7">
        <v>0.03</v>
      </c>
      <c r="C7">
        <v>0.18</v>
      </c>
      <c r="M7">
        <f t="shared" si="0"/>
        <v>8.2644628099173556E-2</v>
      </c>
    </row>
    <row r="8" spans="1:13" x14ac:dyDescent="0.25">
      <c r="A8">
        <v>14.28</v>
      </c>
      <c r="B8">
        <v>0.1</v>
      </c>
      <c r="C8">
        <v>0.21</v>
      </c>
      <c r="M8">
        <f t="shared" si="0"/>
        <v>0.27548209366391185</v>
      </c>
    </row>
    <row r="9" spans="1:13" x14ac:dyDescent="0.25">
      <c r="A9">
        <v>34.549999999999997</v>
      </c>
      <c r="B9">
        <v>0.08</v>
      </c>
      <c r="C9">
        <v>0.2</v>
      </c>
      <c r="M9">
        <f t="shared" si="0"/>
        <v>0.22038567493112948</v>
      </c>
    </row>
    <row r="10" spans="1:13" x14ac:dyDescent="0.25">
      <c r="A10">
        <v>20.09</v>
      </c>
      <c r="B10">
        <v>7.0000000000000007E-2</v>
      </c>
      <c r="C10">
        <v>0.16</v>
      </c>
      <c r="M10">
        <f t="shared" si="0"/>
        <v>0.19283746556473833</v>
      </c>
    </row>
    <row r="11" spans="1:13" x14ac:dyDescent="0.25">
      <c r="A11">
        <v>37.97</v>
      </c>
      <c r="B11">
        <v>0.01</v>
      </c>
      <c r="C11">
        <v>0.14000000000000001</v>
      </c>
      <c r="M11">
        <f t="shared" si="0"/>
        <v>2.7548209366391185E-2</v>
      </c>
    </row>
    <row r="12" spans="1:13" x14ac:dyDescent="0.25">
      <c r="A12">
        <v>29.52</v>
      </c>
      <c r="B12">
        <v>0.09</v>
      </c>
      <c r="C12">
        <v>0.19</v>
      </c>
      <c r="M12">
        <f t="shared" si="0"/>
        <v>0.24793388429752067</v>
      </c>
    </row>
    <row r="13" spans="1:13" x14ac:dyDescent="0.25">
      <c r="A13">
        <v>30.1</v>
      </c>
      <c r="B13">
        <v>7.0000000000000007E-2</v>
      </c>
      <c r="C13">
        <v>0.17</v>
      </c>
      <c r="M13">
        <f t="shared" si="0"/>
        <v>0.19283746556473833</v>
      </c>
    </row>
    <row r="14" spans="1:13" x14ac:dyDescent="0.25">
      <c r="A14">
        <v>41.51</v>
      </c>
      <c r="B14">
        <v>0.17</v>
      </c>
      <c r="C14">
        <v>0.19</v>
      </c>
      <c r="M14">
        <f t="shared" si="0"/>
        <v>0.46831955922865021</v>
      </c>
    </row>
    <row r="15" spans="1:13" x14ac:dyDescent="0.25">
      <c r="A15">
        <v>25.02</v>
      </c>
      <c r="B15">
        <v>0.16</v>
      </c>
      <c r="C15">
        <v>0.22</v>
      </c>
      <c r="M15">
        <f t="shared" si="0"/>
        <v>0.44077134986225897</v>
      </c>
    </row>
    <row r="16" spans="1:13" x14ac:dyDescent="0.25">
      <c r="A16">
        <v>16.59</v>
      </c>
      <c r="B16">
        <v>0.17</v>
      </c>
      <c r="C16">
        <v>0.23</v>
      </c>
      <c r="M16">
        <f t="shared" si="0"/>
        <v>0.46831955922865021</v>
      </c>
    </row>
    <row r="17" spans="1:13" x14ac:dyDescent="0.25">
      <c r="A17">
        <v>14.83</v>
      </c>
      <c r="B17">
        <v>0.16</v>
      </c>
      <c r="C17">
        <v>0.21</v>
      </c>
      <c r="M17">
        <f t="shared" si="0"/>
        <v>0.44077134986225897</v>
      </c>
    </row>
    <row r="18" spans="1:13" x14ac:dyDescent="0.25">
      <c r="A18">
        <v>65.97</v>
      </c>
      <c r="B18">
        <v>0.27</v>
      </c>
      <c r="C18">
        <v>0.21</v>
      </c>
      <c r="M18">
        <f t="shared" si="0"/>
        <v>0.74380165289256206</v>
      </c>
    </row>
    <row r="19" spans="1:13" x14ac:dyDescent="0.25">
      <c r="A19">
        <v>46.26</v>
      </c>
      <c r="B19">
        <v>0.33</v>
      </c>
      <c r="C19">
        <v>0.24</v>
      </c>
      <c r="M19">
        <f t="shared" si="0"/>
        <v>0.90909090909090917</v>
      </c>
    </row>
    <row r="20" spans="1:13" x14ac:dyDescent="0.25">
      <c r="A20">
        <v>37.46</v>
      </c>
      <c r="B20">
        <v>0.08</v>
      </c>
      <c r="C20">
        <v>0.2</v>
      </c>
      <c r="M20">
        <f t="shared" si="0"/>
        <v>0.22038567493112948</v>
      </c>
    </row>
    <row r="21" spans="1:13" x14ac:dyDescent="0.25">
      <c r="A21">
        <v>27.41</v>
      </c>
      <c r="B21">
        <v>0.02</v>
      </c>
      <c r="C21">
        <v>0.16</v>
      </c>
      <c r="M21">
        <f t="shared" si="0"/>
        <v>5.5096418732782371E-2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3"/>
  <dimension ref="A1:M21"/>
  <sheetViews>
    <sheetView workbookViewId="0">
      <selection activeCell="B13" sqref="B13"/>
    </sheetView>
  </sheetViews>
  <sheetFormatPr defaultRowHeight="14.4" x14ac:dyDescent="0.3"/>
  <sheetData>
    <row r="1" spans="1:13" x14ac:dyDescent="0.25">
      <c r="A1" t="s">
        <v>0</v>
      </c>
      <c r="B1" t="s">
        <v>1</v>
      </c>
      <c r="C1" t="s">
        <v>2</v>
      </c>
    </row>
    <row r="2" spans="1:13" x14ac:dyDescent="0.25">
      <c r="A2">
        <v>151.46</v>
      </c>
      <c r="B2">
        <v>0.02</v>
      </c>
      <c r="C2">
        <v>0.14000000000000001</v>
      </c>
      <c r="M2">
        <f t="shared" ref="M2:M21" si="0">B2/0.363</f>
        <v>5.5096418732782371E-2</v>
      </c>
    </row>
    <row r="3" spans="1:13" x14ac:dyDescent="0.25">
      <c r="A3">
        <v>304.67</v>
      </c>
      <c r="B3">
        <v>0.01</v>
      </c>
      <c r="C3">
        <v>0.15</v>
      </c>
      <c r="M3">
        <f t="shared" si="0"/>
        <v>2.7548209366391185E-2</v>
      </c>
    </row>
    <row r="4" spans="1:13" x14ac:dyDescent="0.25">
      <c r="A4">
        <v>322.14999999999998</v>
      </c>
      <c r="B4">
        <v>0.1</v>
      </c>
      <c r="C4">
        <v>0.21</v>
      </c>
      <c r="M4">
        <f t="shared" si="0"/>
        <v>0.27548209366391185</v>
      </c>
    </row>
    <row r="5" spans="1:13" x14ac:dyDescent="0.25">
      <c r="A5">
        <v>224.71</v>
      </c>
      <c r="B5">
        <v>0.25</v>
      </c>
      <c r="C5">
        <v>0.23</v>
      </c>
      <c r="M5">
        <f t="shared" si="0"/>
        <v>0.68870523415977969</v>
      </c>
    </row>
    <row r="6" spans="1:13" x14ac:dyDescent="0.25">
      <c r="A6">
        <v>407.43</v>
      </c>
      <c r="B6">
        <v>0.17</v>
      </c>
      <c r="C6">
        <v>0.18</v>
      </c>
      <c r="M6">
        <f t="shared" si="0"/>
        <v>0.46831955922865021</v>
      </c>
    </row>
    <row r="7" spans="1:13" x14ac:dyDescent="0.25">
      <c r="A7">
        <v>109.08</v>
      </c>
      <c r="B7">
        <v>0.03</v>
      </c>
      <c r="C7">
        <v>0.15</v>
      </c>
      <c r="M7">
        <f t="shared" si="0"/>
        <v>8.2644628099173556E-2</v>
      </c>
    </row>
    <row r="8" spans="1:13" x14ac:dyDescent="0.25">
      <c r="A8">
        <v>252.42</v>
      </c>
      <c r="B8">
        <v>0.53</v>
      </c>
      <c r="C8">
        <v>0.32</v>
      </c>
      <c r="M8">
        <f t="shared" si="0"/>
        <v>1.4600550964187329</v>
      </c>
    </row>
    <row r="9" spans="1:13" x14ac:dyDescent="0.25">
      <c r="A9">
        <v>239.87</v>
      </c>
      <c r="B9">
        <v>0.01</v>
      </c>
      <c r="C9">
        <v>0.14000000000000001</v>
      </c>
      <c r="M9">
        <f t="shared" si="0"/>
        <v>2.7548209366391185E-2</v>
      </c>
    </row>
    <row r="10" spans="1:13" x14ac:dyDescent="0.25">
      <c r="A10">
        <v>258.14999999999998</v>
      </c>
      <c r="B10">
        <v>7.0000000000000007E-2</v>
      </c>
      <c r="C10">
        <v>0.16</v>
      </c>
      <c r="M10">
        <f t="shared" si="0"/>
        <v>0.19283746556473833</v>
      </c>
    </row>
    <row r="11" spans="1:13" x14ac:dyDescent="0.25">
      <c r="A11">
        <v>240.14</v>
      </c>
      <c r="B11">
        <v>0.11</v>
      </c>
      <c r="C11">
        <v>0.15</v>
      </c>
      <c r="M11">
        <f t="shared" si="0"/>
        <v>0.30303030303030304</v>
      </c>
    </row>
    <row r="12" spans="1:13" x14ac:dyDescent="0.25">
      <c r="A12">
        <v>225.37</v>
      </c>
      <c r="B12">
        <v>0.02</v>
      </c>
      <c r="C12">
        <v>0.16</v>
      </c>
      <c r="M12">
        <f t="shared" si="0"/>
        <v>5.5096418732782371E-2</v>
      </c>
    </row>
    <row r="13" spans="1:13" x14ac:dyDescent="0.25">
      <c r="A13">
        <v>310.39999999999998</v>
      </c>
      <c r="B13">
        <v>0.13</v>
      </c>
      <c r="C13">
        <v>0.16</v>
      </c>
      <c r="M13">
        <f t="shared" si="0"/>
        <v>0.35812672176308541</v>
      </c>
    </row>
    <row r="14" spans="1:13" x14ac:dyDescent="0.25">
      <c r="A14">
        <v>261.38</v>
      </c>
      <c r="B14">
        <v>0.17</v>
      </c>
      <c r="C14">
        <v>0.23</v>
      </c>
      <c r="M14">
        <f t="shared" si="0"/>
        <v>0.46831955922865021</v>
      </c>
    </row>
    <row r="15" spans="1:13" x14ac:dyDescent="0.25">
      <c r="A15">
        <v>297.45999999999998</v>
      </c>
      <c r="B15">
        <v>0.08</v>
      </c>
      <c r="C15">
        <v>0.15</v>
      </c>
      <c r="M15">
        <f t="shared" si="0"/>
        <v>0.22038567493112948</v>
      </c>
    </row>
    <row r="16" spans="1:13" x14ac:dyDescent="0.25">
      <c r="A16">
        <v>250.44</v>
      </c>
      <c r="B16">
        <v>0.21</v>
      </c>
      <c r="C16">
        <v>0.19</v>
      </c>
      <c r="M16">
        <f t="shared" si="0"/>
        <v>0.57851239669421484</v>
      </c>
    </row>
    <row r="17" spans="1:13" x14ac:dyDescent="0.25">
      <c r="A17">
        <v>262.3</v>
      </c>
      <c r="B17">
        <v>0.16</v>
      </c>
      <c r="C17">
        <v>0.2</v>
      </c>
      <c r="M17">
        <f t="shared" si="0"/>
        <v>0.44077134986225897</v>
      </c>
    </row>
    <row r="18" spans="1:13" x14ac:dyDescent="0.25">
      <c r="A18">
        <v>339.82</v>
      </c>
      <c r="B18">
        <v>0.02</v>
      </c>
      <c r="C18">
        <v>0.14000000000000001</v>
      </c>
      <c r="M18">
        <f t="shared" si="0"/>
        <v>5.5096418732782371E-2</v>
      </c>
    </row>
    <row r="19" spans="1:13" x14ac:dyDescent="0.25">
      <c r="A19">
        <v>326.20999999999998</v>
      </c>
      <c r="B19">
        <v>0.41</v>
      </c>
      <c r="C19">
        <v>0.27</v>
      </c>
      <c r="M19">
        <f t="shared" si="0"/>
        <v>1.1294765840220384</v>
      </c>
    </row>
    <row r="20" spans="1:13" x14ac:dyDescent="0.25">
      <c r="A20">
        <v>364.57</v>
      </c>
      <c r="B20">
        <v>0.41</v>
      </c>
      <c r="C20">
        <v>0.28000000000000003</v>
      </c>
      <c r="M20">
        <f t="shared" si="0"/>
        <v>1.1294765840220384</v>
      </c>
    </row>
    <row r="21" spans="1:13" x14ac:dyDescent="0.25">
      <c r="A21">
        <v>219.81</v>
      </c>
      <c r="B21">
        <v>7.0000000000000007E-2</v>
      </c>
      <c r="C21">
        <v>0.15</v>
      </c>
      <c r="M21">
        <f t="shared" si="0"/>
        <v>0.19283746556473833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3"/>
  <dimension ref="A1:M21"/>
  <sheetViews>
    <sheetView workbookViewId="0">
      <selection activeCell="M21" sqref="M21"/>
    </sheetView>
  </sheetViews>
  <sheetFormatPr defaultRowHeight="14.4" x14ac:dyDescent="0.3"/>
  <sheetData>
    <row r="1" spans="1:13" x14ac:dyDescent="0.25">
      <c r="A1" t="s">
        <v>0</v>
      </c>
      <c r="B1" t="s">
        <v>1</v>
      </c>
      <c r="C1" t="s">
        <v>2</v>
      </c>
    </row>
    <row r="2" spans="1:13" x14ac:dyDescent="0.25">
      <c r="A2">
        <v>268.64</v>
      </c>
      <c r="B2">
        <v>0.01</v>
      </c>
      <c r="C2">
        <v>0.16</v>
      </c>
      <c r="M2">
        <f t="shared" ref="M2:M21" si="0">B2/0.363</f>
        <v>2.7548209366391185E-2</v>
      </c>
    </row>
    <row r="3" spans="1:13" x14ac:dyDescent="0.25">
      <c r="A3">
        <v>365.05</v>
      </c>
      <c r="B3">
        <v>0.01</v>
      </c>
      <c r="C3">
        <v>0.14000000000000001</v>
      </c>
      <c r="M3">
        <f t="shared" si="0"/>
        <v>2.7548209366391185E-2</v>
      </c>
    </row>
    <row r="4" spans="1:13" x14ac:dyDescent="0.25">
      <c r="A4">
        <v>243.12</v>
      </c>
      <c r="B4">
        <v>0.01</v>
      </c>
      <c r="C4">
        <v>0.12</v>
      </c>
      <c r="M4">
        <f t="shared" si="0"/>
        <v>2.7548209366391185E-2</v>
      </c>
    </row>
    <row r="5" spans="1:13" x14ac:dyDescent="0.25">
      <c r="A5">
        <v>197.94</v>
      </c>
      <c r="B5">
        <v>0.02</v>
      </c>
      <c r="C5">
        <v>0.14000000000000001</v>
      </c>
      <c r="M5">
        <f t="shared" si="0"/>
        <v>5.5096418732782371E-2</v>
      </c>
    </row>
    <row r="6" spans="1:13" x14ac:dyDescent="0.25">
      <c r="A6">
        <v>476.06</v>
      </c>
      <c r="B6">
        <v>0.02</v>
      </c>
      <c r="C6">
        <v>0.15</v>
      </c>
      <c r="M6">
        <f t="shared" si="0"/>
        <v>5.5096418732782371E-2</v>
      </c>
    </row>
    <row r="7" spans="1:13" x14ac:dyDescent="0.25">
      <c r="A7">
        <v>453.02</v>
      </c>
      <c r="B7">
        <v>7.0000000000000007E-2</v>
      </c>
      <c r="C7">
        <v>0.17</v>
      </c>
      <c r="M7">
        <f t="shared" si="0"/>
        <v>0.19283746556473833</v>
      </c>
    </row>
    <row r="8" spans="1:13" x14ac:dyDescent="0.25">
      <c r="A8">
        <v>360.7</v>
      </c>
      <c r="B8">
        <v>0.41</v>
      </c>
      <c r="C8">
        <v>0.26</v>
      </c>
      <c r="M8">
        <f t="shared" si="0"/>
        <v>1.1294765840220384</v>
      </c>
    </row>
    <row r="9" spans="1:13" x14ac:dyDescent="0.25">
      <c r="A9">
        <v>746.51</v>
      </c>
      <c r="B9">
        <v>0.02</v>
      </c>
      <c r="C9">
        <v>0.14000000000000001</v>
      </c>
      <c r="M9">
        <f t="shared" si="0"/>
        <v>5.5096418732782371E-2</v>
      </c>
    </row>
    <row r="10" spans="1:13" x14ac:dyDescent="0.25">
      <c r="A10">
        <v>407.45</v>
      </c>
      <c r="B10">
        <v>0.42</v>
      </c>
      <c r="C10">
        <v>0.31</v>
      </c>
      <c r="M10">
        <f t="shared" si="0"/>
        <v>1.1570247933884297</v>
      </c>
    </row>
    <row r="11" spans="1:13" x14ac:dyDescent="0.25">
      <c r="A11">
        <v>986.31</v>
      </c>
      <c r="B11">
        <v>0.01</v>
      </c>
      <c r="C11">
        <v>0.13</v>
      </c>
      <c r="M11">
        <f t="shared" si="0"/>
        <v>2.7548209366391185E-2</v>
      </c>
    </row>
    <row r="12" spans="1:13" x14ac:dyDescent="0.25">
      <c r="A12">
        <v>506.45</v>
      </c>
      <c r="B12">
        <v>0.18</v>
      </c>
      <c r="C12">
        <v>0.18</v>
      </c>
      <c r="M12">
        <f t="shared" si="0"/>
        <v>0.49586776859504134</v>
      </c>
    </row>
    <row r="13" spans="1:13" x14ac:dyDescent="0.25">
      <c r="A13">
        <v>344.95</v>
      </c>
      <c r="B13">
        <v>0.78</v>
      </c>
      <c r="C13">
        <v>0.41</v>
      </c>
      <c r="M13">
        <f t="shared" si="0"/>
        <v>2.1487603305785123</v>
      </c>
    </row>
    <row r="14" spans="1:13" x14ac:dyDescent="0.25">
      <c r="A14">
        <v>361.72</v>
      </c>
      <c r="B14">
        <v>0.3</v>
      </c>
      <c r="C14">
        <v>0.24</v>
      </c>
      <c r="M14">
        <f t="shared" si="0"/>
        <v>0.82644628099173556</v>
      </c>
    </row>
    <row r="15" spans="1:13" x14ac:dyDescent="0.25">
      <c r="A15">
        <v>413.24</v>
      </c>
      <c r="B15">
        <v>0.01</v>
      </c>
      <c r="C15">
        <v>0.13</v>
      </c>
      <c r="M15">
        <f t="shared" si="0"/>
        <v>2.7548209366391185E-2</v>
      </c>
    </row>
    <row r="16" spans="1:13" x14ac:dyDescent="0.25">
      <c r="A16">
        <v>569.14</v>
      </c>
      <c r="B16">
        <v>0.13</v>
      </c>
      <c r="C16">
        <v>0.18</v>
      </c>
      <c r="M16">
        <f t="shared" si="0"/>
        <v>0.35812672176308541</v>
      </c>
    </row>
    <row r="17" spans="1:13" x14ac:dyDescent="0.25">
      <c r="A17">
        <v>145.61000000000001</v>
      </c>
      <c r="B17">
        <v>0.01</v>
      </c>
      <c r="C17">
        <v>0.15</v>
      </c>
      <c r="M17">
        <f t="shared" si="0"/>
        <v>2.7548209366391185E-2</v>
      </c>
    </row>
    <row r="18" spans="1:13" x14ac:dyDescent="0.25">
      <c r="A18">
        <v>335.73</v>
      </c>
      <c r="B18">
        <v>0.01</v>
      </c>
      <c r="C18">
        <v>0.15</v>
      </c>
      <c r="M18">
        <f t="shared" si="0"/>
        <v>2.7548209366391185E-2</v>
      </c>
    </row>
    <row r="19" spans="1:13" x14ac:dyDescent="0.25">
      <c r="A19">
        <v>199.41</v>
      </c>
      <c r="B19">
        <v>0.02</v>
      </c>
      <c r="C19">
        <v>0.15</v>
      </c>
      <c r="M19">
        <f t="shared" si="0"/>
        <v>5.5096418732782371E-2</v>
      </c>
    </row>
    <row r="20" spans="1:13" x14ac:dyDescent="0.25">
      <c r="A20">
        <v>395.88</v>
      </c>
      <c r="B20">
        <v>0.71</v>
      </c>
      <c r="C20">
        <v>0.38</v>
      </c>
      <c r="M20">
        <f t="shared" si="0"/>
        <v>1.9559228650137741</v>
      </c>
    </row>
    <row r="21" spans="1:13" x14ac:dyDescent="0.25">
      <c r="A21">
        <v>298.35000000000002</v>
      </c>
      <c r="B21">
        <v>0.01</v>
      </c>
      <c r="C21">
        <v>0.15</v>
      </c>
      <c r="M21">
        <f t="shared" si="0"/>
        <v>2.7548209366391185E-2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9"/>
  <dimension ref="A1:M21"/>
  <sheetViews>
    <sheetView workbookViewId="0">
      <selection activeCell="M21" sqref="M21"/>
    </sheetView>
  </sheetViews>
  <sheetFormatPr defaultRowHeight="14.4" x14ac:dyDescent="0.3"/>
  <sheetData>
    <row r="1" spans="1:13" x14ac:dyDescent="0.25">
      <c r="A1" t="s">
        <v>0</v>
      </c>
      <c r="B1" t="s">
        <v>1</v>
      </c>
      <c r="C1" t="s">
        <v>2</v>
      </c>
    </row>
    <row r="2" spans="1:13" x14ac:dyDescent="0.25">
      <c r="A2">
        <v>220.65</v>
      </c>
      <c r="B2">
        <v>0.12</v>
      </c>
      <c r="C2">
        <v>0.17</v>
      </c>
      <c r="M2">
        <f t="shared" ref="M2:M21" si="0">B2/0.363</f>
        <v>0.33057851239669422</v>
      </c>
    </row>
    <row r="3" spans="1:13" x14ac:dyDescent="0.25">
      <c r="A3">
        <v>207.9</v>
      </c>
      <c r="B3">
        <v>0.17</v>
      </c>
      <c r="C3">
        <v>0.19</v>
      </c>
      <c r="M3">
        <f t="shared" si="0"/>
        <v>0.46831955922865021</v>
      </c>
    </row>
    <row r="4" spans="1:13" x14ac:dyDescent="0.25">
      <c r="A4">
        <v>158.15</v>
      </c>
      <c r="B4">
        <v>0.14000000000000001</v>
      </c>
      <c r="C4">
        <v>0.17</v>
      </c>
      <c r="M4">
        <f t="shared" si="0"/>
        <v>0.38567493112947665</v>
      </c>
    </row>
    <row r="5" spans="1:13" x14ac:dyDescent="0.25">
      <c r="A5">
        <v>225.97</v>
      </c>
      <c r="B5">
        <v>0.1</v>
      </c>
      <c r="C5">
        <v>0.18</v>
      </c>
      <c r="M5">
        <f t="shared" si="0"/>
        <v>0.27548209366391185</v>
      </c>
    </row>
    <row r="6" spans="1:13" x14ac:dyDescent="0.25">
      <c r="A6">
        <v>167.9</v>
      </c>
      <c r="B6">
        <v>0</v>
      </c>
      <c r="C6">
        <v>0.14000000000000001</v>
      </c>
      <c r="M6">
        <f t="shared" si="0"/>
        <v>0</v>
      </c>
    </row>
    <row r="7" spans="1:13" x14ac:dyDescent="0.25">
      <c r="A7">
        <v>120.3</v>
      </c>
      <c r="B7">
        <v>0.01</v>
      </c>
      <c r="C7">
        <v>0.15</v>
      </c>
      <c r="M7">
        <f t="shared" si="0"/>
        <v>2.7548209366391185E-2</v>
      </c>
    </row>
    <row r="8" spans="1:13" x14ac:dyDescent="0.25">
      <c r="A8">
        <v>189.94</v>
      </c>
      <c r="B8">
        <v>0.1</v>
      </c>
      <c r="C8">
        <v>0.16</v>
      </c>
      <c r="M8">
        <f t="shared" si="0"/>
        <v>0.27548209366391185</v>
      </c>
    </row>
    <row r="9" spans="1:13" x14ac:dyDescent="0.25">
      <c r="A9">
        <v>176.81</v>
      </c>
      <c r="B9">
        <v>0.22</v>
      </c>
      <c r="C9">
        <v>0.19</v>
      </c>
      <c r="M9">
        <f t="shared" si="0"/>
        <v>0.60606060606060608</v>
      </c>
    </row>
    <row r="10" spans="1:13" x14ac:dyDescent="0.25">
      <c r="A10">
        <v>265.07</v>
      </c>
      <c r="B10">
        <v>0.22</v>
      </c>
      <c r="C10">
        <v>0.19</v>
      </c>
      <c r="M10">
        <f t="shared" si="0"/>
        <v>0.60606060606060608</v>
      </c>
    </row>
    <row r="11" spans="1:13" x14ac:dyDescent="0.25">
      <c r="A11">
        <v>193.68</v>
      </c>
      <c r="B11">
        <v>0.03</v>
      </c>
      <c r="C11">
        <v>0.16</v>
      </c>
      <c r="M11">
        <f t="shared" si="0"/>
        <v>8.2644628099173556E-2</v>
      </c>
    </row>
    <row r="12" spans="1:13" x14ac:dyDescent="0.25">
      <c r="A12">
        <v>177.48</v>
      </c>
      <c r="B12">
        <v>0.21</v>
      </c>
      <c r="C12">
        <v>0.19</v>
      </c>
      <c r="M12">
        <f t="shared" si="0"/>
        <v>0.57851239669421484</v>
      </c>
    </row>
    <row r="13" spans="1:13" x14ac:dyDescent="0.25">
      <c r="A13">
        <v>220.49</v>
      </c>
      <c r="B13">
        <v>0.22</v>
      </c>
      <c r="C13">
        <v>0.19</v>
      </c>
      <c r="M13">
        <f t="shared" si="0"/>
        <v>0.60606060606060608</v>
      </c>
    </row>
    <row r="14" spans="1:13" x14ac:dyDescent="0.25">
      <c r="A14">
        <v>212.84</v>
      </c>
      <c r="B14">
        <v>0.11</v>
      </c>
      <c r="C14">
        <v>0.17</v>
      </c>
      <c r="M14">
        <f t="shared" si="0"/>
        <v>0.30303030303030304</v>
      </c>
    </row>
    <row r="15" spans="1:13" x14ac:dyDescent="0.25">
      <c r="A15">
        <v>168.03</v>
      </c>
      <c r="B15">
        <v>0.22</v>
      </c>
      <c r="C15">
        <v>0.19</v>
      </c>
      <c r="M15">
        <f t="shared" si="0"/>
        <v>0.60606060606060608</v>
      </c>
    </row>
    <row r="16" spans="1:13" x14ac:dyDescent="0.25">
      <c r="A16">
        <v>187.32</v>
      </c>
      <c r="B16">
        <v>0.16</v>
      </c>
      <c r="C16">
        <v>0.18</v>
      </c>
      <c r="M16">
        <f t="shared" si="0"/>
        <v>0.44077134986225897</v>
      </c>
    </row>
    <row r="17" spans="1:13" x14ac:dyDescent="0.25">
      <c r="A17">
        <v>211.72</v>
      </c>
      <c r="B17">
        <v>0.18</v>
      </c>
      <c r="C17">
        <v>0.18</v>
      </c>
      <c r="M17">
        <f t="shared" si="0"/>
        <v>0.49586776859504134</v>
      </c>
    </row>
    <row r="18" spans="1:13" x14ac:dyDescent="0.25">
      <c r="A18">
        <v>117.7</v>
      </c>
      <c r="B18">
        <v>0.02</v>
      </c>
      <c r="C18">
        <v>0.16</v>
      </c>
      <c r="M18">
        <f t="shared" si="0"/>
        <v>5.5096418732782371E-2</v>
      </c>
    </row>
    <row r="19" spans="1:13" x14ac:dyDescent="0.25">
      <c r="A19">
        <v>158.5</v>
      </c>
      <c r="B19">
        <v>0.02</v>
      </c>
      <c r="C19">
        <v>0.16</v>
      </c>
      <c r="M19">
        <f t="shared" si="0"/>
        <v>5.5096418732782371E-2</v>
      </c>
    </row>
    <row r="20" spans="1:13" x14ac:dyDescent="0.25">
      <c r="A20">
        <v>193.97</v>
      </c>
      <c r="B20">
        <v>0.01</v>
      </c>
      <c r="C20">
        <v>0.15</v>
      </c>
      <c r="M20">
        <f t="shared" si="0"/>
        <v>2.7548209366391185E-2</v>
      </c>
    </row>
    <row r="21" spans="1:13" x14ac:dyDescent="0.25">
      <c r="A21">
        <v>154.82</v>
      </c>
      <c r="B21">
        <v>0.08</v>
      </c>
      <c r="C21">
        <v>0.16</v>
      </c>
      <c r="M21">
        <f t="shared" si="0"/>
        <v>0.22038567493112948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23"/>
  <dimension ref="A1:M21"/>
  <sheetViews>
    <sheetView workbookViewId="0">
      <selection activeCell="M21" sqref="M21"/>
    </sheetView>
  </sheetViews>
  <sheetFormatPr defaultRowHeight="14.4" x14ac:dyDescent="0.3"/>
  <sheetData>
    <row r="1" spans="1:13" x14ac:dyDescent="0.25">
      <c r="A1" t="s">
        <v>0</v>
      </c>
      <c r="B1" t="s">
        <v>1</v>
      </c>
      <c r="C1" t="s">
        <v>2</v>
      </c>
    </row>
    <row r="2" spans="1:13" x14ac:dyDescent="0.25">
      <c r="A2">
        <v>34.479999999999997</v>
      </c>
      <c r="B2">
        <v>0.01</v>
      </c>
      <c r="C2">
        <v>0.13</v>
      </c>
      <c r="M2">
        <f t="shared" ref="M2:M21" si="0">B2/0.363</f>
        <v>2.7548209366391185E-2</v>
      </c>
    </row>
    <row r="3" spans="1:13" x14ac:dyDescent="0.25">
      <c r="A3">
        <v>32.82</v>
      </c>
      <c r="B3">
        <v>0.41</v>
      </c>
      <c r="C3">
        <v>0.27</v>
      </c>
      <c r="M3">
        <f t="shared" si="0"/>
        <v>1.1294765840220384</v>
      </c>
    </row>
    <row r="4" spans="1:13" x14ac:dyDescent="0.25">
      <c r="A4">
        <v>57.34</v>
      </c>
      <c r="B4">
        <v>0.01</v>
      </c>
      <c r="C4">
        <v>0.16</v>
      </c>
      <c r="M4">
        <f t="shared" si="0"/>
        <v>2.7548209366391185E-2</v>
      </c>
    </row>
    <row r="5" spans="1:13" x14ac:dyDescent="0.25">
      <c r="A5">
        <v>27.02</v>
      </c>
      <c r="B5">
        <v>0.23</v>
      </c>
      <c r="C5">
        <v>0.21</v>
      </c>
      <c r="M5">
        <f t="shared" si="0"/>
        <v>0.63360881542699732</v>
      </c>
    </row>
    <row r="6" spans="1:13" x14ac:dyDescent="0.25">
      <c r="A6">
        <v>63.94</v>
      </c>
      <c r="B6">
        <v>0.03</v>
      </c>
      <c r="C6">
        <v>0.16</v>
      </c>
      <c r="M6">
        <f t="shared" si="0"/>
        <v>8.2644628099173556E-2</v>
      </c>
    </row>
    <row r="7" spans="1:13" x14ac:dyDescent="0.25">
      <c r="A7">
        <v>30.52</v>
      </c>
      <c r="B7">
        <v>0.47</v>
      </c>
      <c r="C7">
        <v>0.33</v>
      </c>
      <c r="M7">
        <f t="shared" si="0"/>
        <v>1.2947658402203857</v>
      </c>
    </row>
    <row r="8" spans="1:13" x14ac:dyDescent="0.25">
      <c r="A8">
        <v>29.84</v>
      </c>
      <c r="B8">
        <v>0.27</v>
      </c>
      <c r="C8">
        <v>0.28000000000000003</v>
      </c>
      <c r="M8">
        <f t="shared" si="0"/>
        <v>0.74380165289256206</v>
      </c>
    </row>
    <row r="9" spans="1:13" x14ac:dyDescent="0.25">
      <c r="A9">
        <v>21.16</v>
      </c>
      <c r="B9">
        <v>0.04</v>
      </c>
      <c r="C9">
        <v>0.18</v>
      </c>
      <c r="M9">
        <f t="shared" si="0"/>
        <v>0.11019283746556474</v>
      </c>
    </row>
    <row r="10" spans="1:13" x14ac:dyDescent="0.25">
      <c r="A10">
        <v>34.200000000000003</v>
      </c>
      <c r="B10">
        <v>0.33</v>
      </c>
      <c r="C10">
        <v>0.24</v>
      </c>
      <c r="M10">
        <f t="shared" si="0"/>
        <v>0.90909090909090917</v>
      </c>
    </row>
    <row r="11" spans="1:13" x14ac:dyDescent="0.25">
      <c r="A11">
        <v>30.73</v>
      </c>
      <c r="B11">
        <v>0.02</v>
      </c>
      <c r="C11">
        <v>0.15</v>
      </c>
      <c r="M11">
        <f t="shared" si="0"/>
        <v>5.5096418732782371E-2</v>
      </c>
    </row>
    <row r="12" spans="1:13" x14ac:dyDescent="0.25">
      <c r="A12">
        <v>78.680000000000007</v>
      </c>
      <c r="B12">
        <v>0.25</v>
      </c>
      <c r="C12">
        <v>0.22</v>
      </c>
      <c r="M12">
        <f t="shared" si="0"/>
        <v>0.68870523415977969</v>
      </c>
    </row>
    <row r="13" spans="1:13" x14ac:dyDescent="0.25">
      <c r="A13">
        <v>35.26</v>
      </c>
      <c r="B13">
        <v>0.55000000000000004</v>
      </c>
      <c r="C13">
        <v>0.37</v>
      </c>
      <c r="M13">
        <f t="shared" si="0"/>
        <v>1.5151515151515154</v>
      </c>
    </row>
    <row r="14" spans="1:13" x14ac:dyDescent="0.25">
      <c r="A14">
        <v>39.85</v>
      </c>
      <c r="B14">
        <v>0.02</v>
      </c>
      <c r="C14">
        <v>0.19</v>
      </c>
      <c r="M14">
        <f t="shared" si="0"/>
        <v>5.5096418732782371E-2</v>
      </c>
    </row>
    <row r="15" spans="1:13" x14ac:dyDescent="0.25">
      <c r="A15">
        <v>73.459999999999994</v>
      </c>
      <c r="B15">
        <v>0.02</v>
      </c>
      <c r="C15">
        <v>0.15</v>
      </c>
      <c r="M15">
        <f t="shared" si="0"/>
        <v>5.5096418732782371E-2</v>
      </c>
    </row>
    <row r="16" spans="1:13" x14ac:dyDescent="0.25">
      <c r="A16">
        <v>32.14</v>
      </c>
      <c r="B16">
        <v>0.31</v>
      </c>
      <c r="C16">
        <v>0.25</v>
      </c>
      <c r="M16">
        <f t="shared" si="0"/>
        <v>0.85399449035812669</v>
      </c>
    </row>
    <row r="17" spans="1:13" x14ac:dyDescent="0.25">
      <c r="A17">
        <v>53.12</v>
      </c>
      <c r="B17">
        <v>0.02</v>
      </c>
      <c r="C17">
        <v>0.17</v>
      </c>
      <c r="M17">
        <f t="shared" si="0"/>
        <v>5.5096418732782371E-2</v>
      </c>
    </row>
    <row r="18" spans="1:13" x14ac:dyDescent="0.25">
      <c r="A18">
        <v>23.82</v>
      </c>
      <c r="B18">
        <v>0.02</v>
      </c>
      <c r="C18">
        <v>0.15</v>
      </c>
      <c r="M18">
        <f t="shared" si="0"/>
        <v>5.5096418732782371E-2</v>
      </c>
    </row>
    <row r="19" spans="1:13" x14ac:dyDescent="0.25">
      <c r="A19">
        <v>29.02</v>
      </c>
      <c r="B19">
        <v>0.08</v>
      </c>
      <c r="C19">
        <v>0.18</v>
      </c>
      <c r="M19">
        <f t="shared" si="0"/>
        <v>0.22038567493112948</v>
      </c>
    </row>
    <row r="20" spans="1:13" x14ac:dyDescent="0.25">
      <c r="A20">
        <v>14.6</v>
      </c>
      <c r="B20">
        <v>0</v>
      </c>
      <c r="C20">
        <v>0.12</v>
      </c>
      <c r="M20">
        <f t="shared" si="0"/>
        <v>0</v>
      </c>
    </row>
    <row r="21" spans="1:13" x14ac:dyDescent="0.25">
      <c r="A21">
        <v>29.54</v>
      </c>
      <c r="B21">
        <v>0.34</v>
      </c>
      <c r="C21">
        <v>0.27</v>
      </c>
      <c r="M21">
        <f t="shared" si="0"/>
        <v>0.93663911845730041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4"/>
  <dimension ref="A1:M21"/>
  <sheetViews>
    <sheetView workbookViewId="0">
      <selection activeCell="M21" sqref="M21"/>
    </sheetView>
  </sheetViews>
  <sheetFormatPr defaultRowHeight="14.4" x14ac:dyDescent="0.3"/>
  <cols>
    <col min="7" max="7" width="12" bestFit="1" customWidth="1"/>
  </cols>
  <sheetData>
    <row r="1" spans="1:13" x14ac:dyDescent="0.25">
      <c r="A1" t="s">
        <v>0</v>
      </c>
      <c r="B1" t="s">
        <v>1</v>
      </c>
      <c r="C1" t="s">
        <v>2</v>
      </c>
      <c r="F1" t="s">
        <v>31</v>
      </c>
      <c r="G1" t="s">
        <v>35</v>
      </c>
    </row>
    <row r="2" spans="1:13" x14ac:dyDescent="0.25">
      <c r="A2">
        <v>457.72</v>
      </c>
      <c r="B2">
        <v>0.51</v>
      </c>
      <c r="C2">
        <v>0.3</v>
      </c>
      <c r="F2">
        <f>_xlfn.T.TEST(B2:B21,control!B2:B21,1,3)</f>
        <v>0.12300664444858223</v>
      </c>
      <c r="G2" s="3">
        <f>_xlfn.T.TEST(B2:B21,'grid-state'!B2:B21,1,3)</f>
        <v>7.4064802250855638E-6</v>
      </c>
      <c r="M2">
        <f t="shared" ref="M2:M21" si="0">B2/0.363</f>
        <v>1.4049586776859504</v>
      </c>
    </row>
    <row r="3" spans="1:13" x14ac:dyDescent="0.25">
      <c r="A3">
        <v>345.33</v>
      </c>
      <c r="B3">
        <v>0.56999999999999995</v>
      </c>
      <c r="C3">
        <v>0.33</v>
      </c>
      <c r="M3">
        <f t="shared" si="0"/>
        <v>1.5702479338842974</v>
      </c>
    </row>
    <row r="4" spans="1:13" x14ac:dyDescent="0.25">
      <c r="A4">
        <v>239.34</v>
      </c>
      <c r="B4">
        <v>0.14000000000000001</v>
      </c>
      <c r="C4">
        <v>0.19</v>
      </c>
      <c r="M4">
        <f t="shared" si="0"/>
        <v>0.38567493112947665</v>
      </c>
    </row>
    <row r="5" spans="1:13" x14ac:dyDescent="0.25">
      <c r="A5">
        <v>389.88</v>
      </c>
      <c r="B5">
        <v>0.48</v>
      </c>
      <c r="C5">
        <v>0.3</v>
      </c>
      <c r="M5">
        <f t="shared" si="0"/>
        <v>1.3223140495867769</v>
      </c>
    </row>
    <row r="6" spans="1:13" x14ac:dyDescent="0.25">
      <c r="A6">
        <v>406.58</v>
      </c>
      <c r="B6">
        <v>0.46</v>
      </c>
      <c r="C6">
        <v>0.28000000000000003</v>
      </c>
      <c r="M6">
        <f t="shared" si="0"/>
        <v>1.2672176308539946</v>
      </c>
    </row>
    <row r="7" spans="1:13" x14ac:dyDescent="0.25">
      <c r="A7">
        <v>360.22</v>
      </c>
      <c r="B7">
        <v>0.53</v>
      </c>
      <c r="C7">
        <v>0.32</v>
      </c>
      <c r="M7">
        <f t="shared" si="0"/>
        <v>1.4600550964187329</v>
      </c>
    </row>
    <row r="8" spans="1:13" x14ac:dyDescent="0.25">
      <c r="A8">
        <v>283.69</v>
      </c>
      <c r="B8">
        <v>0.77</v>
      </c>
      <c r="C8">
        <v>0.41</v>
      </c>
      <c r="M8">
        <f t="shared" si="0"/>
        <v>2.1212121212121211</v>
      </c>
    </row>
    <row r="9" spans="1:13" x14ac:dyDescent="0.25">
      <c r="A9">
        <v>282.01</v>
      </c>
      <c r="B9">
        <v>0.87</v>
      </c>
      <c r="C9">
        <v>0.45</v>
      </c>
      <c r="M9">
        <f t="shared" si="0"/>
        <v>2.3966942148760331</v>
      </c>
    </row>
    <row r="10" spans="1:13" x14ac:dyDescent="0.25">
      <c r="A10">
        <v>432.66</v>
      </c>
      <c r="B10">
        <v>0.19</v>
      </c>
      <c r="C10">
        <v>0.22</v>
      </c>
      <c r="M10">
        <f t="shared" si="0"/>
        <v>0.52341597796143258</v>
      </c>
    </row>
    <row r="11" spans="1:13" x14ac:dyDescent="0.25">
      <c r="A11">
        <v>363.54</v>
      </c>
      <c r="B11">
        <v>0.66</v>
      </c>
      <c r="C11">
        <v>0.37</v>
      </c>
      <c r="M11">
        <f t="shared" si="0"/>
        <v>1.8181818181818183</v>
      </c>
    </row>
    <row r="12" spans="1:13" x14ac:dyDescent="0.25">
      <c r="A12">
        <v>297.54000000000002</v>
      </c>
      <c r="B12">
        <v>0.51</v>
      </c>
      <c r="C12">
        <v>0.31</v>
      </c>
      <c r="M12">
        <f t="shared" si="0"/>
        <v>1.4049586776859504</v>
      </c>
    </row>
    <row r="13" spans="1:13" x14ac:dyDescent="0.25">
      <c r="A13">
        <v>304.35000000000002</v>
      </c>
      <c r="B13">
        <v>0.49</v>
      </c>
      <c r="C13">
        <v>0.28999999999999998</v>
      </c>
      <c r="M13">
        <f t="shared" si="0"/>
        <v>1.3498622589531681</v>
      </c>
    </row>
    <row r="14" spans="1:13" x14ac:dyDescent="0.25">
      <c r="A14">
        <v>345.05</v>
      </c>
      <c r="B14">
        <v>0.37</v>
      </c>
      <c r="C14">
        <v>0.25</v>
      </c>
      <c r="M14">
        <f t="shared" si="0"/>
        <v>1.0192837465564739</v>
      </c>
    </row>
    <row r="15" spans="1:13" x14ac:dyDescent="0.25">
      <c r="A15">
        <v>243.88</v>
      </c>
      <c r="B15">
        <v>0.13</v>
      </c>
      <c r="C15">
        <v>0.19</v>
      </c>
      <c r="M15">
        <f t="shared" si="0"/>
        <v>0.35812672176308541</v>
      </c>
    </row>
    <row r="16" spans="1:13" x14ac:dyDescent="0.25">
      <c r="A16">
        <v>411.58</v>
      </c>
      <c r="B16">
        <v>0.55000000000000004</v>
      </c>
      <c r="C16">
        <v>0.33</v>
      </c>
      <c r="M16">
        <f t="shared" si="0"/>
        <v>1.5151515151515154</v>
      </c>
    </row>
    <row r="17" spans="1:13" x14ac:dyDescent="0.25">
      <c r="A17">
        <v>346.99</v>
      </c>
      <c r="B17">
        <v>0.51</v>
      </c>
      <c r="C17">
        <v>0.31</v>
      </c>
      <c r="M17">
        <f t="shared" si="0"/>
        <v>1.4049586776859504</v>
      </c>
    </row>
    <row r="18" spans="1:13" x14ac:dyDescent="0.25">
      <c r="A18">
        <v>370.61</v>
      </c>
      <c r="B18">
        <v>0.38</v>
      </c>
      <c r="C18">
        <v>0.25</v>
      </c>
      <c r="M18">
        <f t="shared" si="0"/>
        <v>1.0468319559228652</v>
      </c>
    </row>
    <row r="19" spans="1:13" x14ac:dyDescent="0.25">
      <c r="A19">
        <v>363.03</v>
      </c>
      <c r="B19">
        <v>0.23</v>
      </c>
      <c r="C19">
        <v>0.2</v>
      </c>
      <c r="M19">
        <f t="shared" si="0"/>
        <v>0.63360881542699732</v>
      </c>
    </row>
    <row r="20" spans="1:13" x14ac:dyDescent="0.25">
      <c r="A20">
        <v>190.11</v>
      </c>
      <c r="B20">
        <v>0.11</v>
      </c>
      <c r="C20">
        <v>0.18</v>
      </c>
      <c r="M20">
        <f t="shared" si="0"/>
        <v>0.30303030303030304</v>
      </c>
    </row>
    <row r="21" spans="1:13" x14ac:dyDescent="0.25">
      <c r="A21">
        <v>370.07</v>
      </c>
      <c r="B21">
        <v>0.3</v>
      </c>
      <c r="C21">
        <v>0.21</v>
      </c>
      <c r="M21">
        <f t="shared" si="0"/>
        <v>0.82644628099173556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7"/>
  <dimension ref="A1:M21"/>
  <sheetViews>
    <sheetView workbookViewId="0">
      <selection activeCell="M21" sqref="M21"/>
    </sheetView>
  </sheetViews>
  <sheetFormatPr defaultRowHeight="14.4" x14ac:dyDescent="0.3"/>
  <sheetData>
    <row r="1" spans="1:13" x14ac:dyDescent="0.25">
      <c r="A1" t="s">
        <v>0</v>
      </c>
      <c r="B1" t="s">
        <v>1</v>
      </c>
      <c r="C1" t="s">
        <v>2</v>
      </c>
    </row>
    <row r="2" spans="1:13" x14ac:dyDescent="0.25">
      <c r="A2">
        <v>54.33</v>
      </c>
      <c r="B2">
        <v>0.09</v>
      </c>
      <c r="C2">
        <v>0.24</v>
      </c>
      <c r="M2">
        <f t="shared" ref="M2:M21" si="0">B2/0.363</f>
        <v>0.24793388429752067</v>
      </c>
    </row>
    <row r="3" spans="1:13" x14ac:dyDescent="0.25">
      <c r="A3">
        <v>37.99</v>
      </c>
      <c r="B3">
        <v>0.25</v>
      </c>
      <c r="C3">
        <v>0.31</v>
      </c>
      <c r="M3">
        <f t="shared" si="0"/>
        <v>0.68870523415977969</v>
      </c>
    </row>
    <row r="4" spans="1:13" x14ac:dyDescent="0.25">
      <c r="A4">
        <v>55.89</v>
      </c>
      <c r="B4">
        <v>0.04</v>
      </c>
      <c r="C4">
        <v>0.18</v>
      </c>
      <c r="M4">
        <f t="shared" si="0"/>
        <v>0.11019283746556474</v>
      </c>
    </row>
    <row r="5" spans="1:13" x14ac:dyDescent="0.25">
      <c r="A5">
        <v>40.82</v>
      </c>
      <c r="B5">
        <v>0.56999999999999995</v>
      </c>
      <c r="C5">
        <v>0.35</v>
      </c>
      <c r="M5">
        <f t="shared" si="0"/>
        <v>1.5702479338842974</v>
      </c>
    </row>
    <row r="6" spans="1:13" x14ac:dyDescent="0.25">
      <c r="A6">
        <v>52.49</v>
      </c>
      <c r="B6">
        <v>0.01</v>
      </c>
      <c r="C6">
        <v>0.13</v>
      </c>
      <c r="M6">
        <f t="shared" si="0"/>
        <v>2.7548209366391185E-2</v>
      </c>
    </row>
    <row r="7" spans="1:13" x14ac:dyDescent="0.25">
      <c r="A7">
        <v>44.09</v>
      </c>
      <c r="B7">
        <v>0.25</v>
      </c>
      <c r="C7">
        <v>0.23</v>
      </c>
      <c r="M7">
        <f t="shared" si="0"/>
        <v>0.68870523415977969</v>
      </c>
    </row>
    <row r="8" spans="1:13" x14ac:dyDescent="0.25">
      <c r="A8">
        <v>38.06</v>
      </c>
      <c r="B8">
        <v>0.01</v>
      </c>
      <c r="C8">
        <v>0.18</v>
      </c>
      <c r="M8">
        <f t="shared" si="0"/>
        <v>2.7548209366391185E-2</v>
      </c>
    </row>
    <row r="9" spans="1:13" x14ac:dyDescent="0.25">
      <c r="A9">
        <v>39.090000000000003</v>
      </c>
      <c r="B9">
        <v>0.89</v>
      </c>
      <c r="C9">
        <v>0.46</v>
      </c>
      <c r="M9">
        <f t="shared" si="0"/>
        <v>2.4517906336088156</v>
      </c>
    </row>
    <row r="10" spans="1:13" x14ac:dyDescent="0.25">
      <c r="A10">
        <v>53.11</v>
      </c>
      <c r="B10">
        <v>0.02</v>
      </c>
      <c r="C10">
        <v>0.17</v>
      </c>
      <c r="M10">
        <f t="shared" si="0"/>
        <v>5.5096418732782371E-2</v>
      </c>
    </row>
    <row r="11" spans="1:13" x14ac:dyDescent="0.25">
      <c r="A11">
        <v>40.36</v>
      </c>
      <c r="B11">
        <v>0.32</v>
      </c>
      <c r="C11">
        <v>0.36</v>
      </c>
      <c r="M11">
        <f t="shared" si="0"/>
        <v>0.88154269972451793</v>
      </c>
    </row>
    <row r="12" spans="1:13" x14ac:dyDescent="0.25">
      <c r="A12">
        <v>51.18</v>
      </c>
      <c r="B12">
        <v>0.11</v>
      </c>
      <c r="C12">
        <v>0.21</v>
      </c>
      <c r="M12">
        <f t="shared" si="0"/>
        <v>0.30303030303030304</v>
      </c>
    </row>
    <row r="13" spans="1:13" x14ac:dyDescent="0.25">
      <c r="A13">
        <v>32.630000000000003</v>
      </c>
      <c r="B13">
        <v>0.02</v>
      </c>
      <c r="C13">
        <v>0.16</v>
      </c>
      <c r="M13">
        <f t="shared" si="0"/>
        <v>5.5096418732782371E-2</v>
      </c>
    </row>
    <row r="14" spans="1:13" x14ac:dyDescent="0.25">
      <c r="A14">
        <v>38.450000000000003</v>
      </c>
      <c r="B14">
        <v>0.44</v>
      </c>
      <c r="C14">
        <v>0.31</v>
      </c>
      <c r="M14">
        <f t="shared" si="0"/>
        <v>1.2121212121212122</v>
      </c>
    </row>
    <row r="15" spans="1:13" x14ac:dyDescent="0.25">
      <c r="A15">
        <v>50.94</v>
      </c>
      <c r="B15">
        <v>0.02</v>
      </c>
      <c r="C15">
        <v>0.15</v>
      </c>
      <c r="M15">
        <f t="shared" si="0"/>
        <v>5.5096418732782371E-2</v>
      </c>
    </row>
    <row r="16" spans="1:13" x14ac:dyDescent="0.25">
      <c r="A16">
        <v>36.22</v>
      </c>
      <c r="B16">
        <v>0.39</v>
      </c>
      <c r="C16">
        <v>0.28999999999999998</v>
      </c>
      <c r="M16">
        <f t="shared" si="0"/>
        <v>1.0743801652892562</v>
      </c>
    </row>
    <row r="17" spans="1:13" x14ac:dyDescent="0.25">
      <c r="A17">
        <v>44.84</v>
      </c>
      <c r="B17">
        <v>0.22</v>
      </c>
      <c r="C17">
        <v>0.23</v>
      </c>
      <c r="M17">
        <f t="shared" si="0"/>
        <v>0.60606060606060608</v>
      </c>
    </row>
    <row r="18" spans="1:13" x14ac:dyDescent="0.25">
      <c r="A18">
        <v>49.57</v>
      </c>
      <c r="B18">
        <v>0.36</v>
      </c>
      <c r="C18">
        <v>0.28000000000000003</v>
      </c>
      <c r="M18">
        <f t="shared" si="0"/>
        <v>0.99173553719008267</v>
      </c>
    </row>
    <row r="19" spans="1:13" x14ac:dyDescent="0.25">
      <c r="A19">
        <v>38.630000000000003</v>
      </c>
      <c r="B19">
        <v>0.02</v>
      </c>
      <c r="C19">
        <v>0.2</v>
      </c>
      <c r="M19">
        <f t="shared" si="0"/>
        <v>5.5096418732782371E-2</v>
      </c>
    </row>
    <row r="20" spans="1:13" x14ac:dyDescent="0.25">
      <c r="A20">
        <v>43.45</v>
      </c>
      <c r="B20">
        <v>0.14000000000000001</v>
      </c>
      <c r="C20">
        <v>0.2</v>
      </c>
      <c r="M20">
        <f t="shared" si="0"/>
        <v>0.38567493112947665</v>
      </c>
    </row>
    <row r="21" spans="1:13" x14ac:dyDescent="0.25">
      <c r="A21">
        <v>43.62</v>
      </c>
      <c r="B21">
        <v>0.19</v>
      </c>
      <c r="C21">
        <v>0.22</v>
      </c>
      <c r="M21">
        <f t="shared" si="0"/>
        <v>0.52341597796143258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8"/>
  <dimension ref="A1:M21"/>
  <sheetViews>
    <sheetView workbookViewId="0">
      <selection activeCell="M21" sqref="M21"/>
    </sheetView>
  </sheetViews>
  <sheetFormatPr defaultRowHeight="14.4" x14ac:dyDescent="0.3"/>
  <sheetData>
    <row r="1" spans="1:13" x14ac:dyDescent="0.25">
      <c r="A1" t="s">
        <v>0</v>
      </c>
      <c r="B1" t="s">
        <v>1</v>
      </c>
      <c r="C1" t="s">
        <v>2</v>
      </c>
    </row>
    <row r="2" spans="1:13" x14ac:dyDescent="0.25">
      <c r="A2">
        <v>30.96</v>
      </c>
      <c r="B2">
        <v>0.22</v>
      </c>
      <c r="C2">
        <v>0.23</v>
      </c>
      <c r="M2">
        <f t="shared" ref="M2:M21" si="0">B2/0.363</f>
        <v>0.60606060606060608</v>
      </c>
    </row>
    <row r="3" spans="1:13" x14ac:dyDescent="0.25">
      <c r="A3">
        <v>42.87</v>
      </c>
      <c r="B3">
        <v>0.35</v>
      </c>
      <c r="C3">
        <v>0.27</v>
      </c>
      <c r="M3">
        <f t="shared" si="0"/>
        <v>0.96418732782369143</v>
      </c>
    </row>
    <row r="4" spans="1:13" x14ac:dyDescent="0.25">
      <c r="A4">
        <v>70.09</v>
      </c>
      <c r="B4">
        <v>0.23</v>
      </c>
      <c r="C4">
        <v>0.23</v>
      </c>
      <c r="M4">
        <f t="shared" si="0"/>
        <v>0.63360881542699732</v>
      </c>
    </row>
    <row r="5" spans="1:13" x14ac:dyDescent="0.25">
      <c r="A5">
        <v>54.89</v>
      </c>
      <c r="B5">
        <v>0.18</v>
      </c>
      <c r="C5">
        <v>0.21</v>
      </c>
      <c r="M5">
        <f t="shared" si="0"/>
        <v>0.49586776859504134</v>
      </c>
    </row>
    <row r="6" spans="1:13" x14ac:dyDescent="0.25">
      <c r="A6">
        <v>60.77</v>
      </c>
      <c r="B6">
        <v>0.23</v>
      </c>
      <c r="C6">
        <v>0.23</v>
      </c>
      <c r="M6">
        <f t="shared" si="0"/>
        <v>0.63360881542699732</v>
      </c>
    </row>
    <row r="7" spans="1:13" x14ac:dyDescent="0.25">
      <c r="A7">
        <v>55.77</v>
      </c>
      <c r="B7">
        <v>0.23</v>
      </c>
      <c r="C7">
        <v>0.23</v>
      </c>
      <c r="M7">
        <f t="shared" si="0"/>
        <v>0.63360881542699732</v>
      </c>
    </row>
    <row r="8" spans="1:13" x14ac:dyDescent="0.25">
      <c r="A8">
        <v>65.41</v>
      </c>
      <c r="B8">
        <v>0.31</v>
      </c>
      <c r="C8">
        <v>0.25</v>
      </c>
      <c r="M8">
        <f t="shared" si="0"/>
        <v>0.85399449035812669</v>
      </c>
    </row>
    <row r="9" spans="1:13" x14ac:dyDescent="0.25">
      <c r="A9">
        <v>64.290000000000006</v>
      </c>
      <c r="B9">
        <v>0.19</v>
      </c>
      <c r="C9">
        <v>0.23</v>
      </c>
      <c r="M9">
        <f t="shared" si="0"/>
        <v>0.52341597796143258</v>
      </c>
    </row>
    <row r="10" spans="1:13" x14ac:dyDescent="0.25">
      <c r="A10">
        <v>68.27</v>
      </c>
      <c r="B10">
        <v>0.14000000000000001</v>
      </c>
      <c r="C10">
        <v>0.21</v>
      </c>
      <c r="M10">
        <f t="shared" si="0"/>
        <v>0.38567493112947665</v>
      </c>
    </row>
    <row r="11" spans="1:13" x14ac:dyDescent="0.25">
      <c r="A11">
        <v>57.53</v>
      </c>
      <c r="B11">
        <v>0.35</v>
      </c>
      <c r="C11">
        <v>0.27</v>
      </c>
      <c r="M11">
        <f t="shared" si="0"/>
        <v>0.96418732782369143</v>
      </c>
    </row>
    <row r="12" spans="1:13" x14ac:dyDescent="0.25">
      <c r="A12">
        <v>23.61</v>
      </c>
      <c r="B12">
        <v>0.01</v>
      </c>
      <c r="C12">
        <v>0.13</v>
      </c>
      <c r="M12">
        <f t="shared" si="0"/>
        <v>2.7548209366391185E-2</v>
      </c>
    </row>
    <row r="13" spans="1:13" x14ac:dyDescent="0.25">
      <c r="A13">
        <v>21.15</v>
      </c>
      <c r="B13">
        <v>0.31</v>
      </c>
      <c r="C13">
        <v>0.25</v>
      </c>
      <c r="M13">
        <f t="shared" si="0"/>
        <v>0.85399449035812669</v>
      </c>
    </row>
    <row r="14" spans="1:13" x14ac:dyDescent="0.25">
      <c r="A14">
        <v>21.29</v>
      </c>
      <c r="B14">
        <v>0.01</v>
      </c>
      <c r="C14">
        <v>0.15</v>
      </c>
      <c r="M14">
        <f t="shared" si="0"/>
        <v>2.7548209366391185E-2</v>
      </c>
    </row>
    <row r="15" spans="1:13" x14ac:dyDescent="0.25">
      <c r="A15">
        <v>22.77</v>
      </c>
      <c r="B15">
        <v>0.25</v>
      </c>
      <c r="C15">
        <v>0.25</v>
      </c>
      <c r="M15">
        <f t="shared" si="0"/>
        <v>0.68870523415977969</v>
      </c>
    </row>
    <row r="16" spans="1:13" x14ac:dyDescent="0.25">
      <c r="A16">
        <v>23.67</v>
      </c>
      <c r="B16">
        <v>0.23</v>
      </c>
      <c r="C16">
        <v>0.27</v>
      </c>
      <c r="M16">
        <f t="shared" si="0"/>
        <v>0.63360881542699732</v>
      </c>
    </row>
    <row r="17" spans="1:13" x14ac:dyDescent="0.25">
      <c r="A17">
        <v>21.68</v>
      </c>
      <c r="B17">
        <v>0.11</v>
      </c>
      <c r="C17">
        <v>0.18</v>
      </c>
      <c r="M17">
        <f t="shared" si="0"/>
        <v>0.30303030303030304</v>
      </c>
    </row>
    <row r="18" spans="1:13" x14ac:dyDescent="0.25">
      <c r="A18">
        <v>21.26</v>
      </c>
      <c r="B18">
        <v>0.04</v>
      </c>
      <c r="C18">
        <v>0.18</v>
      </c>
      <c r="M18">
        <f t="shared" si="0"/>
        <v>0.11019283746556474</v>
      </c>
    </row>
    <row r="19" spans="1:13" x14ac:dyDescent="0.25">
      <c r="A19">
        <v>21.4</v>
      </c>
      <c r="B19">
        <v>0.11</v>
      </c>
      <c r="C19">
        <v>0.2</v>
      </c>
      <c r="M19">
        <f t="shared" si="0"/>
        <v>0.30303030303030304</v>
      </c>
    </row>
    <row r="20" spans="1:13" x14ac:dyDescent="0.25">
      <c r="A20">
        <v>23.82</v>
      </c>
      <c r="B20">
        <v>0.18</v>
      </c>
      <c r="C20">
        <v>0.22</v>
      </c>
      <c r="M20">
        <f t="shared" si="0"/>
        <v>0.49586776859504134</v>
      </c>
    </row>
    <row r="21" spans="1:13" x14ac:dyDescent="0.25">
      <c r="A21">
        <v>21.02</v>
      </c>
      <c r="B21">
        <v>0.13</v>
      </c>
      <c r="C21">
        <v>0.18</v>
      </c>
      <c r="M21">
        <f t="shared" si="0"/>
        <v>0.35812672176308541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7"/>
  <dimension ref="A1:M21"/>
  <sheetViews>
    <sheetView workbookViewId="0">
      <selection activeCell="M21" sqref="M21"/>
    </sheetView>
  </sheetViews>
  <sheetFormatPr defaultRowHeight="14.4" x14ac:dyDescent="0.3"/>
  <sheetData>
    <row r="1" spans="1:13" x14ac:dyDescent="0.25">
      <c r="A1" t="s">
        <v>0</v>
      </c>
      <c r="B1" t="s">
        <v>1</v>
      </c>
      <c r="C1" t="s">
        <v>2</v>
      </c>
    </row>
    <row r="2" spans="1:13" x14ac:dyDescent="0.25">
      <c r="A2">
        <v>62.89</v>
      </c>
      <c r="B2">
        <v>0.01</v>
      </c>
      <c r="C2">
        <v>0.13</v>
      </c>
      <c r="M2">
        <f t="shared" ref="M2:M21" si="0">B2/0.363</f>
        <v>2.7548209366391185E-2</v>
      </c>
    </row>
    <row r="3" spans="1:13" x14ac:dyDescent="0.25">
      <c r="A3">
        <v>60.06</v>
      </c>
      <c r="B3">
        <v>0.04</v>
      </c>
      <c r="C3">
        <v>0.15</v>
      </c>
      <c r="M3">
        <f t="shared" si="0"/>
        <v>0.11019283746556474</v>
      </c>
    </row>
    <row r="4" spans="1:13" x14ac:dyDescent="0.25">
      <c r="A4">
        <v>77.25</v>
      </c>
      <c r="B4">
        <v>0.01</v>
      </c>
      <c r="C4">
        <v>0.14000000000000001</v>
      </c>
      <c r="M4">
        <f t="shared" si="0"/>
        <v>2.7548209366391185E-2</v>
      </c>
    </row>
    <row r="5" spans="1:13" x14ac:dyDescent="0.25">
      <c r="A5">
        <v>66.239999999999995</v>
      </c>
      <c r="B5">
        <v>0.01</v>
      </c>
      <c r="C5">
        <v>0.12</v>
      </c>
      <c r="M5">
        <f t="shared" si="0"/>
        <v>2.7548209366391185E-2</v>
      </c>
    </row>
    <row r="6" spans="1:13" x14ac:dyDescent="0.25">
      <c r="A6">
        <v>101.07</v>
      </c>
      <c r="B6">
        <v>0.02</v>
      </c>
      <c r="C6">
        <v>0.15</v>
      </c>
      <c r="M6">
        <f t="shared" si="0"/>
        <v>5.5096418732782371E-2</v>
      </c>
    </row>
    <row r="7" spans="1:13" x14ac:dyDescent="0.25">
      <c r="A7">
        <v>71.48</v>
      </c>
      <c r="B7">
        <v>0.12</v>
      </c>
      <c r="C7">
        <v>0.18</v>
      </c>
      <c r="M7">
        <f t="shared" si="0"/>
        <v>0.33057851239669422</v>
      </c>
    </row>
    <row r="8" spans="1:13" x14ac:dyDescent="0.25">
      <c r="A8">
        <v>79.150000000000006</v>
      </c>
      <c r="B8">
        <v>0.01</v>
      </c>
      <c r="C8">
        <v>0.14000000000000001</v>
      </c>
      <c r="M8">
        <f t="shared" si="0"/>
        <v>2.7548209366391185E-2</v>
      </c>
    </row>
    <row r="9" spans="1:13" x14ac:dyDescent="0.25">
      <c r="A9">
        <v>78.52</v>
      </c>
      <c r="B9">
        <v>0.01</v>
      </c>
      <c r="C9">
        <v>0.19</v>
      </c>
      <c r="M9">
        <f t="shared" si="0"/>
        <v>2.7548209366391185E-2</v>
      </c>
    </row>
    <row r="10" spans="1:13" x14ac:dyDescent="0.25">
      <c r="A10">
        <v>70.75</v>
      </c>
      <c r="B10">
        <v>0</v>
      </c>
      <c r="C10">
        <v>0.16</v>
      </c>
      <c r="M10">
        <f t="shared" si="0"/>
        <v>0</v>
      </c>
    </row>
    <row r="11" spans="1:13" x14ac:dyDescent="0.25">
      <c r="A11">
        <v>90.6</v>
      </c>
      <c r="B11">
        <v>0.12</v>
      </c>
      <c r="C11">
        <v>0.17</v>
      </c>
      <c r="M11">
        <f t="shared" si="0"/>
        <v>0.33057851239669422</v>
      </c>
    </row>
    <row r="12" spans="1:13" x14ac:dyDescent="0.25">
      <c r="A12">
        <v>75.47</v>
      </c>
      <c r="B12">
        <v>0.01</v>
      </c>
      <c r="C12">
        <v>0.13</v>
      </c>
      <c r="M12">
        <f t="shared" si="0"/>
        <v>2.7548209366391185E-2</v>
      </c>
    </row>
    <row r="13" spans="1:13" x14ac:dyDescent="0.25">
      <c r="A13">
        <v>79.680000000000007</v>
      </c>
      <c r="B13">
        <v>0.01</v>
      </c>
      <c r="C13">
        <v>0.14000000000000001</v>
      </c>
      <c r="M13">
        <f t="shared" si="0"/>
        <v>2.7548209366391185E-2</v>
      </c>
    </row>
    <row r="14" spans="1:13" x14ac:dyDescent="0.25">
      <c r="A14">
        <v>88.94</v>
      </c>
      <c r="B14">
        <v>0.01</v>
      </c>
      <c r="C14">
        <v>0.15</v>
      </c>
      <c r="M14">
        <f t="shared" si="0"/>
        <v>2.7548209366391185E-2</v>
      </c>
    </row>
    <row r="15" spans="1:13" x14ac:dyDescent="0.25">
      <c r="A15">
        <v>84.59</v>
      </c>
      <c r="B15">
        <v>0.01</v>
      </c>
      <c r="C15">
        <v>0.13</v>
      </c>
      <c r="M15">
        <f t="shared" si="0"/>
        <v>2.7548209366391185E-2</v>
      </c>
    </row>
    <row r="16" spans="1:13" x14ac:dyDescent="0.25">
      <c r="A16">
        <v>79.28</v>
      </c>
      <c r="B16">
        <v>0.01</v>
      </c>
      <c r="C16">
        <v>0.12</v>
      </c>
      <c r="M16">
        <f t="shared" si="0"/>
        <v>2.7548209366391185E-2</v>
      </c>
    </row>
    <row r="17" spans="1:13" x14ac:dyDescent="0.25">
      <c r="A17">
        <v>81.36</v>
      </c>
      <c r="B17">
        <v>0.01</v>
      </c>
      <c r="C17">
        <v>0.13</v>
      </c>
      <c r="M17">
        <f t="shared" si="0"/>
        <v>2.7548209366391185E-2</v>
      </c>
    </row>
    <row r="18" spans="1:13" x14ac:dyDescent="0.25">
      <c r="A18">
        <v>108.42</v>
      </c>
      <c r="B18">
        <v>0.14000000000000001</v>
      </c>
      <c r="C18">
        <v>0.2</v>
      </c>
      <c r="M18">
        <f t="shared" si="0"/>
        <v>0.38567493112947665</v>
      </c>
    </row>
    <row r="19" spans="1:13" x14ac:dyDescent="0.25">
      <c r="A19">
        <v>104.4</v>
      </c>
      <c r="B19">
        <v>0.01</v>
      </c>
      <c r="C19">
        <v>0.16</v>
      </c>
      <c r="M19">
        <f t="shared" si="0"/>
        <v>2.7548209366391185E-2</v>
      </c>
    </row>
    <row r="20" spans="1:13" x14ac:dyDescent="0.25">
      <c r="A20">
        <v>95.63</v>
      </c>
      <c r="B20">
        <v>0</v>
      </c>
      <c r="C20">
        <v>0.12</v>
      </c>
      <c r="M20">
        <f t="shared" si="0"/>
        <v>0</v>
      </c>
    </row>
    <row r="21" spans="1:13" x14ac:dyDescent="0.25">
      <c r="A21">
        <v>106.22</v>
      </c>
      <c r="B21">
        <v>0</v>
      </c>
      <c r="C21">
        <v>0.13</v>
      </c>
      <c r="M21">
        <f t="shared" si="0"/>
        <v>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8"/>
  <dimension ref="A1:M21"/>
  <sheetViews>
    <sheetView workbookViewId="0">
      <selection activeCell="M21" sqref="M21"/>
    </sheetView>
  </sheetViews>
  <sheetFormatPr defaultRowHeight="14.4" x14ac:dyDescent="0.3"/>
  <sheetData>
    <row r="1" spans="1:13" x14ac:dyDescent="0.25">
      <c r="A1" t="s">
        <v>0</v>
      </c>
      <c r="B1" t="s">
        <v>1</v>
      </c>
      <c r="C1" t="s">
        <v>2</v>
      </c>
    </row>
    <row r="2" spans="1:13" x14ac:dyDescent="0.25">
      <c r="A2">
        <v>48.26</v>
      </c>
      <c r="B2">
        <v>0</v>
      </c>
      <c r="C2">
        <v>0.12</v>
      </c>
      <c r="M2">
        <f t="shared" ref="M2:M21" si="0">B2/0.363</f>
        <v>0</v>
      </c>
    </row>
    <row r="3" spans="1:13" x14ac:dyDescent="0.25">
      <c r="A3">
        <v>48.2</v>
      </c>
      <c r="B3">
        <v>0.01</v>
      </c>
      <c r="C3">
        <v>0.15</v>
      </c>
      <c r="M3">
        <f t="shared" si="0"/>
        <v>2.7548209366391185E-2</v>
      </c>
    </row>
    <row r="4" spans="1:13" x14ac:dyDescent="0.25">
      <c r="A4">
        <v>43.26</v>
      </c>
      <c r="B4">
        <v>0.03</v>
      </c>
      <c r="C4">
        <v>0.13</v>
      </c>
      <c r="M4">
        <f t="shared" si="0"/>
        <v>8.2644628099173556E-2</v>
      </c>
    </row>
    <row r="5" spans="1:13" x14ac:dyDescent="0.25">
      <c r="A5">
        <v>39.369999999999997</v>
      </c>
      <c r="B5">
        <v>0.02</v>
      </c>
      <c r="C5">
        <v>0.12</v>
      </c>
      <c r="M5">
        <f t="shared" si="0"/>
        <v>5.5096418732782371E-2</v>
      </c>
    </row>
    <row r="6" spans="1:13" x14ac:dyDescent="0.25">
      <c r="A6">
        <v>65.180000000000007</v>
      </c>
      <c r="B6">
        <v>0</v>
      </c>
      <c r="C6">
        <v>0.11</v>
      </c>
      <c r="M6">
        <f t="shared" si="0"/>
        <v>0</v>
      </c>
    </row>
    <row r="7" spans="1:13" x14ac:dyDescent="0.25">
      <c r="A7">
        <v>79.45</v>
      </c>
      <c r="B7">
        <v>0.02</v>
      </c>
      <c r="C7">
        <v>0.14000000000000001</v>
      </c>
      <c r="M7">
        <f t="shared" si="0"/>
        <v>5.5096418732782371E-2</v>
      </c>
    </row>
    <row r="8" spans="1:13" x14ac:dyDescent="0.25">
      <c r="A8">
        <v>66.400000000000006</v>
      </c>
      <c r="B8">
        <v>7.0000000000000007E-2</v>
      </c>
      <c r="C8">
        <v>0.16</v>
      </c>
      <c r="M8">
        <f t="shared" si="0"/>
        <v>0.19283746556473833</v>
      </c>
    </row>
    <row r="9" spans="1:13" x14ac:dyDescent="0.25">
      <c r="A9">
        <v>68.3</v>
      </c>
      <c r="B9">
        <v>0.01</v>
      </c>
      <c r="C9">
        <v>0.15</v>
      </c>
      <c r="M9">
        <f t="shared" si="0"/>
        <v>2.7548209366391185E-2</v>
      </c>
    </row>
    <row r="10" spans="1:13" x14ac:dyDescent="0.25">
      <c r="A10">
        <v>48.84</v>
      </c>
      <c r="B10">
        <v>0.01</v>
      </c>
      <c r="C10">
        <v>0.13</v>
      </c>
      <c r="M10">
        <f t="shared" si="0"/>
        <v>2.7548209366391185E-2</v>
      </c>
    </row>
    <row r="11" spans="1:13" x14ac:dyDescent="0.25">
      <c r="A11">
        <v>56.74</v>
      </c>
      <c r="B11">
        <v>0.02</v>
      </c>
      <c r="C11">
        <v>0.13</v>
      </c>
      <c r="M11">
        <f t="shared" si="0"/>
        <v>5.5096418732782371E-2</v>
      </c>
    </row>
    <row r="12" spans="1:13" x14ac:dyDescent="0.25">
      <c r="A12">
        <v>56.2</v>
      </c>
      <c r="B12">
        <v>0</v>
      </c>
      <c r="C12">
        <v>0.1</v>
      </c>
      <c r="M12">
        <f t="shared" si="0"/>
        <v>0</v>
      </c>
    </row>
    <row r="13" spans="1:13" x14ac:dyDescent="0.25">
      <c r="A13">
        <v>62.03</v>
      </c>
      <c r="B13">
        <v>0</v>
      </c>
      <c r="C13">
        <v>0.13</v>
      </c>
      <c r="M13">
        <f t="shared" si="0"/>
        <v>0</v>
      </c>
    </row>
    <row r="14" spans="1:13" x14ac:dyDescent="0.25">
      <c r="A14">
        <v>68.819999999999993</v>
      </c>
      <c r="B14">
        <v>0.01</v>
      </c>
      <c r="C14">
        <v>0.11</v>
      </c>
      <c r="M14">
        <f t="shared" si="0"/>
        <v>2.7548209366391185E-2</v>
      </c>
    </row>
    <row r="15" spans="1:13" x14ac:dyDescent="0.25">
      <c r="A15">
        <v>65.16</v>
      </c>
      <c r="B15">
        <v>0.02</v>
      </c>
      <c r="C15">
        <v>0.16</v>
      </c>
      <c r="M15">
        <f t="shared" si="0"/>
        <v>5.5096418732782371E-2</v>
      </c>
    </row>
    <row r="16" spans="1:13" x14ac:dyDescent="0.25">
      <c r="A16">
        <v>80</v>
      </c>
      <c r="B16">
        <v>0.01</v>
      </c>
      <c r="C16">
        <v>0.16</v>
      </c>
      <c r="M16">
        <f t="shared" si="0"/>
        <v>2.7548209366391185E-2</v>
      </c>
    </row>
    <row r="17" spans="1:13" x14ac:dyDescent="0.25">
      <c r="A17">
        <v>81.69</v>
      </c>
      <c r="B17">
        <v>0</v>
      </c>
      <c r="C17">
        <v>0.12</v>
      </c>
      <c r="M17">
        <f t="shared" si="0"/>
        <v>0</v>
      </c>
    </row>
    <row r="18" spans="1:13" x14ac:dyDescent="0.25">
      <c r="A18">
        <v>96.03</v>
      </c>
      <c r="B18">
        <v>0.01</v>
      </c>
      <c r="C18">
        <v>0.11</v>
      </c>
      <c r="M18">
        <f t="shared" si="0"/>
        <v>2.7548209366391185E-2</v>
      </c>
    </row>
    <row r="19" spans="1:13" x14ac:dyDescent="0.25">
      <c r="A19">
        <v>71.94</v>
      </c>
      <c r="B19">
        <v>0</v>
      </c>
      <c r="C19">
        <v>0.12</v>
      </c>
      <c r="M19">
        <f t="shared" si="0"/>
        <v>0</v>
      </c>
    </row>
    <row r="20" spans="1:13" x14ac:dyDescent="0.25">
      <c r="A20">
        <v>99.74</v>
      </c>
      <c r="B20">
        <v>0</v>
      </c>
      <c r="C20">
        <v>0.11</v>
      </c>
      <c r="M20">
        <f t="shared" si="0"/>
        <v>0</v>
      </c>
    </row>
    <row r="21" spans="1:13" x14ac:dyDescent="0.25">
      <c r="A21">
        <v>86.81</v>
      </c>
      <c r="B21">
        <v>0.02</v>
      </c>
      <c r="C21">
        <v>0.18</v>
      </c>
      <c r="M21">
        <f t="shared" si="0"/>
        <v>5.5096418732782371E-2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2"/>
  <dimension ref="A1:M21"/>
  <sheetViews>
    <sheetView workbookViewId="0">
      <selection activeCell="M21" sqref="M21"/>
    </sheetView>
  </sheetViews>
  <sheetFormatPr defaultRowHeight="14.4" x14ac:dyDescent="0.3"/>
  <sheetData>
    <row r="1" spans="1:13" x14ac:dyDescent="0.25">
      <c r="A1" t="s">
        <v>0</v>
      </c>
      <c r="B1" t="s">
        <v>1</v>
      </c>
      <c r="C1" t="s">
        <v>2</v>
      </c>
    </row>
    <row r="2" spans="1:13" x14ac:dyDescent="0.25">
      <c r="A2">
        <v>375.11</v>
      </c>
      <c r="B2">
        <v>0.03</v>
      </c>
      <c r="C2">
        <v>0.16</v>
      </c>
      <c r="M2">
        <f t="shared" ref="M2:M21" si="0">B2/0.363</f>
        <v>8.2644628099173556E-2</v>
      </c>
    </row>
    <row r="3" spans="1:13" x14ac:dyDescent="0.25">
      <c r="A3">
        <v>293.10000000000002</v>
      </c>
      <c r="B3">
        <v>0.21</v>
      </c>
      <c r="C3">
        <v>0.21</v>
      </c>
      <c r="M3">
        <f t="shared" si="0"/>
        <v>0.57851239669421484</v>
      </c>
    </row>
    <row r="4" spans="1:13" x14ac:dyDescent="0.25">
      <c r="A4">
        <v>437.24</v>
      </c>
      <c r="B4">
        <v>0.14000000000000001</v>
      </c>
      <c r="C4">
        <v>0.19</v>
      </c>
      <c r="M4">
        <f t="shared" si="0"/>
        <v>0.38567493112947665</v>
      </c>
    </row>
    <row r="5" spans="1:13" x14ac:dyDescent="0.25">
      <c r="A5">
        <v>367.08</v>
      </c>
      <c r="B5">
        <v>0.14000000000000001</v>
      </c>
      <c r="C5">
        <v>0.23</v>
      </c>
      <c r="M5">
        <f t="shared" si="0"/>
        <v>0.38567493112947665</v>
      </c>
    </row>
    <row r="6" spans="1:13" x14ac:dyDescent="0.25">
      <c r="A6">
        <v>292.18</v>
      </c>
      <c r="B6">
        <v>7.0000000000000007E-2</v>
      </c>
      <c r="C6">
        <v>0.2</v>
      </c>
      <c r="M6">
        <f t="shared" si="0"/>
        <v>0.19283746556473833</v>
      </c>
    </row>
    <row r="7" spans="1:13" x14ac:dyDescent="0.25">
      <c r="A7">
        <v>281.8</v>
      </c>
      <c r="B7">
        <v>0.33</v>
      </c>
      <c r="C7">
        <v>0.25</v>
      </c>
      <c r="M7">
        <f t="shared" si="0"/>
        <v>0.90909090909090917</v>
      </c>
    </row>
    <row r="8" spans="1:13" x14ac:dyDescent="0.25">
      <c r="A8">
        <v>317.02</v>
      </c>
      <c r="B8">
        <v>0.12</v>
      </c>
      <c r="C8">
        <v>0.17</v>
      </c>
      <c r="M8">
        <f t="shared" si="0"/>
        <v>0.33057851239669422</v>
      </c>
    </row>
    <row r="9" spans="1:13" x14ac:dyDescent="0.25">
      <c r="A9">
        <v>162.61000000000001</v>
      </c>
      <c r="B9">
        <v>0.1</v>
      </c>
      <c r="C9">
        <v>0.18</v>
      </c>
      <c r="M9">
        <f t="shared" si="0"/>
        <v>0.27548209366391185</v>
      </c>
    </row>
    <row r="10" spans="1:13" x14ac:dyDescent="0.25">
      <c r="A10">
        <v>240.81</v>
      </c>
      <c r="B10">
        <v>0.22</v>
      </c>
      <c r="C10">
        <v>0.21</v>
      </c>
      <c r="M10">
        <f t="shared" si="0"/>
        <v>0.60606060606060608</v>
      </c>
    </row>
    <row r="11" spans="1:13" x14ac:dyDescent="0.25">
      <c r="A11">
        <v>255.14</v>
      </c>
      <c r="B11">
        <v>0.31</v>
      </c>
      <c r="C11">
        <v>0.24</v>
      </c>
      <c r="M11">
        <f t="shared" si="0"/>
        <v>0.85399449035812669</v>
      </c>
    </row>
    <row r="12" spans="1:13" x14ac:dyDescent="0.25">
      <c r="A12">
        <v>251.36</v>
      </c>
      <c r="B12">
        <v>0.14000000000000001</v>
      </c>
      <c r="C12">
        <v>0.18</v>
      </c>
      <c r="M12">
        <f t="shared" si="0"/>
        <v>0.38567493112947665</v>
      </c>
    </row>
    <row r="13" spans="1:13" x14ac:dyDescent="0.25">
      <c r="A13">
        <v>201.14</v>
      </c>
      <c r="B13">
        <v>0.19</v>
      </c>
      <c r="C13">
        <v>0.2</v>
      </c>
      <c r="M13">
        <f t="shared" si="0"/>
        <v>0.52341597796143258</v>
      </c>
    </row>
    <row r="14" spans="1:13" x14ac:dyDescent="0.25">
      <c r="A14">
        <v>446.36</v>
      </c>
      <c r="B14">
        <v>7.0000000000000007E-2</v>
      </c>
      <c r="C14">
        <v>0.17</v>
      </c>
      <c r="M14">
        <f t="shared" si="0"/>
        <v>0.19283746556473833</v>
      </c>
    </row>
    <row r="15" spans="1:13" x14ac:dyDescent="0.25">
      <c r="A15">
        <v>167.15</v>
      </c>
      <c r="B15">
        <v>0.18</v>
      </c>
      <c r="C15">
        <v>0.19</v>
      </c>
      <c r="M15">
        <f t="shared" si="0"/>
        <v>0.49586776859504134</v>
      </c>
    </row>
    <row r="16" spans="1:13" x14ac:dyDescent="0.25">
      <c r="A16">
        <v>315.68</v>
      </c>
      <c r="B16">
        <v>0.02</v>
      </c>
      <c r="C16">
        <v>0.16</v>
      </c>
      <c r="M16">
        <f t="shared" si="0"/>
        <v>5.5096418732782371E-2</v>
      </c>
    </row>
    <row r="17" spans="1:13" x14ac:dyDescent="0.25">
      <c r="A17">
        <v>486.96</v>
      </c>
      <c r="B17">
        <v>0.19</v>
      </c>
      <c r="C17">
        <v>0.19</v>
      </c>
      <c r="M17">
        <f t="shared" si="0"/>
        <v>0.52341597796143258</v>
      </c>
    </row>
    <row r="18" spans="1:13" x14ac:dyDescent="0.25">
      <c r="A18">
        <v>230.06</v>
      </c>
      <c r="B18">
        <v>0.23</v>
      </c>
      <c r="C18">
        <v>0.25</v>
      </c>
      <c r="M18">
        <f t="shared" si="0"/>
        <v>0.63360881542699732</v>
      </c>
    </row>
    <row r="19" spans="1:13" x14ac:dyDescent="0.25">
      <c r="A19">
        <v>328.26</v>
      </c>
      <c r="B19">
        <v>0.27</v>
      </c>
      <c r="C19">
        <v>0.22</v>
      </c>
      <c r="M19">
        <f t="shared" si="0"/>
        <v>0.74380165289256206</v>
      </c>
    </row>
    <row r="20" spans="1:13" x14ac:dyDescent="0.25">
      <c r="A20">
        <v>307.2</v>
      </c>
      <c r="B20">
        <v>0.48</v>
      </c>
      <c r="C20">
        <v>0.31</v>
      </c>
      <c r="M20">
        <f t="shared" si="0"/>
        <v>1.3223140495867769</v>
      </c>
    </row>
    <row r="21" spans="1:13" x14ac:dyDescent="0.25">
      <c r="A21">
        <v>349.5</v>
      </c>
      <c r="B21">
        <v>0.14000000000000001</v>
      </c>
      <c r="C21">
        <v>0.22</v>
      </c>
      <c r="M21">
        <f t="shared" si="0"/>
        <v>0.38567493112947665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5"/>
  <dimension ref="A1:M21"/>
  <sheetViews>
    <sheetView workbookViewId="0">
      <selection activeCell="M21" sqref="M21"/>
    </sheetView>
  </sheetViews>
  <sheetFormatPr defaultRowHeight="14.4" x14ac:dyDescent="0.3"/>
  <sheetData>
    <row r="1" spans="1:13" x14ac:dyDescent="0.25">
      <c r="A1" t="s">
        <v>0</v>
      </c>
      <c r="B1" t="s">
        <v>1</v>
      </c>
      <c r="C1" t="s">
        <v>2</v>
      </c>
      <c r="F1" t="s">
        <v>31</v>
      </c>
    </row>
    <row r="2" spans="1:13" x14ac:dyDescent="0.25">
      <c r="A2">
        <v>350.5</v>
      </c>
      <c r="B2">
        <v>0.92</v>
      </c>
      <c r="C2">
        <v>0.47</v>
      </c>
      <c r="F2">
        <f>_xlfn.T.TEST(B2:B21,control!B2:B21,1,3)</f>
        <v>1.6031269778452901E-3</v>
      </c>
      <c r="M2">
        <f t="shared" ref="M2:M21" si="0">B2/0.363</f>
        <v>2.5344352617079893</v>
      </c>
    </row>
    <row r="3" spans="1:13" x14ac:dyDescent="0.25">
      <c r="A3">
        <v>514.48</v>
      </c>
      <c r="B3">
        <v>0.4</v>
      </c>
      <c r="C3">
        <v>0.26</v>
      </c>
      <c r="M3">
        <f t="shared" si="0"/>
        <v>1.1019283746556474</v>
      </c>
    </row>
    <row r="4" spans="1:13" x14ac:dyDescent="0.25">
      <c r="A4">
        <v>440.28</v>
      </c>
      <c r="B4">
        <v>0.49</v>
      </c>
      <c r="C4">
        <v>0.3</v>
      </c>
      <c r="M4">
        <f t="shared" si="0"/>
        <v>1.3498622589531681</v>
      </c>
    </row>
    <row r="5" spans="1:13" x14ac:dyDescent="0.25">
      <c r="A5">
        <v>478.77</v>
      </c>
      <c r="B5">
        <v>0.93</v>
      </c>
      <c r="C5">
        <v>0.47</v>
      </c>
      <c r="M5">
        <f t="shared" si="0"/>
        <v>2.5619834710743805</v>
      </c>
    </row>
    <row r="6" spans="1:13" x14ac:dyDescent="0.25">
      <c r="A6">
        <v>331.82</v>
      </c>
      <c r="B6">
        <v>0.55000000000000004</v>
      </c>
      <c r="C6">
        <v>0.33</v>
      </c>
      <c r="M6">
        <f t="shared" si="0"/>
        <v>1.5151515151515154</v>
      </c>
    </row>
    <row r="7" spans="1:13" x14ac:dyDescent="0.25">
      <c r="A7">
        <v>644.77</v>
      </c>
      <c r="B7">
        <v>0.63</v>
      </c>
      <c r="C7">
        <v>0.36</v>
      </c>
      <c r="M7">
        <f t="shared" si="0"/>
        <v>1.7355371900826446</v>
      </c>
    </row>
    <row r="8" spans="1:13" x14ac:dyDescent="0.25">
      <c r="A8">
        <v>451.68</v>
      </c>
      <c r="B8">
        <v>0.45</v>
      </c>
      <c r="C8">
        <v>0.28000000000000003</v>
      </c>
      <c r="M8">
        <f t="shared" si="0"/>
        <v>1.2396694214876034</v>
      </c>
    </row>
    <row r="9" spans="1:13" x14ac:dyDescent="0.25">
      <c r="A9">
        <v>678.07</v>
      </c>
      <c r="B9">
        <v>0.33</v>
      </c>
      <c r="C9">
        <v>0.24</v>
      </c>
      <c r="M9">
        <f t="shared" si="0"/>
        <v>0.90909090909090917</v>
      </c>
    </row>
    <row r="10" spans="1:13" x14ac:dyDescent="0.25">
      <c r="A10">
        <v>511.68</v>
      </c>
      <c r="B10">
        <v>0.78</v>
      </c>
      <c r="C10">
        <v>0.42</v>
      </c>
      <c r="M10">
        <f t="shared" si="0"/>
        <v>2.1487603305785123</v>
      </c>
    </row>
    <row r="11" spans="1:13" x14ac:dyDescent="0.25">
      <c r="A11">
        <v>352.9</v>
      </c>
      <c r="B11">
        <v>0.31</v>
      </c>
      <c r="C11">
        <v>0.26</v>
      </c>
      <c r="M11">
        <f t="shared" si="0"/>
        <v>0.85399449035812669</v>
      </c>
    </row>
    <row r="12" spans="1:13" x14ac:dyDescent="0.25">
      <c r="A12">
        <v>491.14</v>
      </c>
      <c r="B12">
        <v>0.46</v>
      </c>
      <c r="C12">
        <v>0.37</v>
      </c>
      <c r="M12">
        <f t="shared" si="0"/>
        <v>1.2672176308539946</v>
      </c>
    </row>
    <row r="13" spans="1:13" x14ac:dyDescent="0.25">
      <c r="A13">
        <v>515.09</v>
      </c>
      <c r="B13">
        <v>0.54</v>
      </c>
      <c r="C13">
        <v>0.32</v>
      </c>
      <c r="M13">
        <f t="shared" si="0"/>
        <v>1.4876033057851241</v>
      </c>
    </row>
    <row r="14" spans="1:13" x14ac:dyDescent="0.25">
      <c r="A14">
        <v>571.55999999999995</v>
      </c>
      <c r="B14">
        <v>0.26</v>
      </c>
      <c r="C14">
        <v>0.23</v>
      </c>
      <c r="M14">
        <f t="shared" si="0"/>
        <v>0.71625344352617082</v>
      </c>
    </row>
    <row r="15" spans="1:13" x14ac:dyDescent="0.25">
      <c r="A15">
        <v>577.37</v>
      </c>
      <c r="B15">
        <v>0.82</v>
      </c>
      <c r="C15">
        <v>0.43</v>
      </c>
      <c r="M15">
        <f t="shared" si="0"/>
        <v>2.2589531680440769</v>
      </c>
    </row>
    <row r="16" spans="1:13" x14ac:dyDescent="0.25">
      <c r="A16">
        <v>475.03</v>
      </c>
      <c r="B16">
        <v>0.3</v>
      </c>
      <c r="C16">
        <v>0.23</v>
      </c>
      <c r="M16">
        <f t="shared" si="0"/>
        <v>0.82644628099173556</v>
      </c>
    </row>
    <row r="17" spans="1:13" x14ac:dyDescent="0.25">
      <c r="A17">
        <v>419.87</v>
      </c>
      <c r="B17">
        <v>0.7</v>
      </c>
      <c r="C17">
        <v>0.38</v>
      </c>
      <c r="M17">
        <f t="shared" si="0"/>
        <v>1.9283746556473829</v>
      </c>
    </row>
    <row r="18" spans="1:13" x14ac:dyDescent="0.25">
      <c r="A18">
        <v>655.25</v>
      </c>
      <c r="B18">
        <v>0.27</v>
      </c>
      <c r="C18">
        <v>0.27</v>
      </c>
      <c r="M18">
        <f t="shared" si="0"/>
        <v>0.74380165289256206</v>
      </c>
    </row>
    <row r="19" spans="1:13" x14ac:dyDescent="0.25">
      <c r="A19">
        <v>554.59</v>
      </c>
      <c r="B19">
        <v>0.79</v>
      </c>
      <c r="C19">
        <v>0.42</v>
      </c>
      <c r="M19">
        <f t="shared" si="0"/>
        <v>2.1763085399449036</v>
      </c>
    </row>
    <row r="20" spans="1:13" x14ac:dyDescent="0.25">
      <c r="A20">
        <v>534.22</v>
      </c>
      <c r="B20">
        <v>0.73</v>
      </c>
      <c r="C20">
        <v>0.4</v>
      </c>
      <c r="M20">
        <f t="shared" si="0"/>
        <v>2.0110192837465566</v>
      </c>
    </row>
    <row r="21" spans="1:13" x14ac:dyDescent="0.25">
      <c r="A21">
        <v>486.91</v>
      </c>
      <c r="B21">
        <v>0.74</v>
      </c>
      <c r="C21">
        <v>0.4</v>
      </c>
      <c r="M21">
        <f t="shared" si="0"/>
        <v>2.0385674931129478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21"/>
  <dimension ref="A1:M21"/>
  <sheetViews>
    <sheetView workbookViewId="0">
      <selection activeCell="M21" sqref="M21"/>
    </sheetView>
  </sheetViews>
  <sheetFormatPr defaultRowHeight="14.4" x14ac:dyDescent="0.3"/>
  <sheetData>
    <row r="1" spans="1:13" x14ac:dyDescent="0.25">
      <c r="A1" t="s">
        <v>0</v>
      </c>
      <c r="B1" t="s">
        <v>1</v>
      </c>
      <c r="C1" t="s">
        <v>2</v>
      </c>
      <c r="F1" t="s">
        <v>29</v>
      </c>
      <c r="G1" t="s">
        <v>30</v>
      </c>
    </row>
    <row r="2" spans="1:13" x14ac:dyDescent="0.25">
      <c r="A2">
        <v>428.9</v>
      </c>
      <c r="B2">
        <v>0.33</v>
      </c>
      <c r="C2">
        <v>0.23</v>
      </c>
      <c r="F2">
        <f>_xlfn.T.TEST('very-high-iteration'!B2:B21,'small-batchsize'!B2:B21,1,3)</f>
        <v>1.9818442649754167E-4</v>
      </c>
      <c r="G2">
        <f>_xlfn.T.TEST(B2:B21,control!B2:B21,1,3)</f>
        <v>0.3696845723793209</v>
      </c>
      <c r="M2">
        <f t="shared" ref="M2:M21" si="0">B2/0.363</f>
        <v>0.90909090909090917</v>
      </c>
    </row>
    <row r="3" spans="1:13" x14ac:dyDescent="0.25">
      <c r="A3">
        <v>360.02</v>
      </c>
      <c r="B3">
        <v>0.26</v>
      </c>
      <c r="C3">
        <v>0.22</v>
      </c>
      <c r="M3">
        <f t="shared" si="0"/>
        <v>0.71625344352617082</v>
      </c>
    </row>
    <row r="4" spans="1:13" x14ac:dyDescent="0.25">
      <c r="A4">
        <v>429.03</v>
      </c>
      <c r="B4">
        <v>0.35</v>
      </c>
      <c r="C4">
        <v>0.24</v>
      </c>
      <c r="M4">
        <f t="shared" si="0"/>
        <v>0.96418732782369143</v>
      </c>
    </row>
    <row r="5" spans="1:13" x14ac:dyDescent="0.25">
      <c r="A5">
        <v>289.56</v>
      </c>
      <c r="B5">
        <v>0.41</v>
      </c>
      <c r="C5">
        <v>0.26</v>
      </c>
      <c r="M5">
        <f t="shared" si="0"/>
        <v>1.1294765840220384</v>
      </c>
    </row>
    <row r="6" spans="1:13" x14ac:dyDescent="0.25">
      <c r="A6">
        <v>394.87</v>
      </c>
      <c r="B6">
        <v>0.55000000000000004</v>
      </c>
      <c r="C6">
        <v>0.34</v>
      </c>
      <c r="M6">
        <f t="shared" si="0"/>
        <v>1.5151515151515154</v>
      </c>
    </row>
    <row r="7" spans="1:13" x14ac:dyDescent="0.25">
      <c r="A7">
        <v>372.48</v>
      </c>
      <c r="B7">
        <v>0.56000000000000005</v>
      </c>
      <c r="C7">
        <v>0.32</v>
      </c>
      <c r="M7">
        <f t="shared" si="0"/>
        <v>1.5426997245179066</v>
      </c>
    </row>
    <row r="8" spans="1:13" x14ac:dyDescent="0.25">
      <c r="A8">
        <v>352.43</v>
      </c>
      <c r="B8">
        <v>0.21</v>
      </c>
      <c r="C8">
        <v>0.19</v>
      </c>
      <c r="M8">
        <f t="shared" si="0"/>
        <v>0.57851239669421484</v>
      </c>
    </row>
    <row r="9" spans="1:13" x14ac:dyDescent="0.25">
      <c r="A9">
        <v>530.88</v>
      </c>
      <c r="B9">
        <v>0.49</v>
      </c>
      <c r="C9">
        <v>0.3</v>
      </c>
      <c r="M9">
        <f t="shared" si="0"/>
        <v>1.3498622589531681</v>
      </c>
    </row>
    <row r="10" spans="1:13" x14ac:dyDescent="0.25">
      <c r="A10">
        <v>393.15</v>
      </c>
      <c r="B10">
        <v>0.4</v>
      </c>
      <c r="C10">
        <v>0.27</v>
      </c>
      <c r="M10">
        <f t="shared" si="0"/>
        <v>1.1019283746556474</v>
      </c>
    </row>
    <row r="11" spans="1:13" x14ac:dyDescent="0.25">
      <c r="A11">
        <v>550.78</v>
      </c>
      <c r="B11">
        <v>0.56999999999999995</v>
      </c>
      <c r="C11">
        <v>0.34</v>
      </c>
      <c r="M11">
        <f t="shared" si="0"/>
        <v>1.5702479338842974</v>
      </c>
    </row>
    <row r="12" spans="1:13" x14ac:dyDescent="0.25">
      <c r="A12">
        <v>378.78</v>
      </c>
      <c r="B12">
        <v>0.61</v>
      </c>
      <c r="C12">
        <v>0.35</v>
      </c>
      <c r="M12">
        <f t="shared" si="0"/>
        <v>1.6804407713498624</v>
      </c>
    </row>
    <row r="13" spans="1:13" x14ac:dyDescent="0.25">
      <c r="A13">
        <v>309.01</v>
      </c>
      <c r="B13">
        <v>0.76</v>
      </c>
      <c r="C13">
        <v>0.41</v>
      </c>
      <c r="M13">
        <f t="shared" si="0"/>
        <v>2.0936639118457303</v>
      </c>
    </row>
    <row r="14" spans="1:13" x14ac:dyDescent="0.25">
      <c r="A14">
        <v>580.02</v>
      </c>
      <c r="B14">
        <v>0.25</v>
      </c>
      <c r="C14">
        <v>0.23</v>
      </c>
      <c r="M14">
        <f t="shared" si="0"/>
        <v>0.68870523415977969</v>
      </c>
    </row>
    <row r="15" spans="1:13" x14ac:dyDescent="0.25">
      <c r="A15">
        <v>425.41</v>
      </c>
      <c r="B15">
        <v>0.63</v>
      </c>
      <c r="C15">
        <v>0.35</v>
      </c>
      <c r="M15">
        <f t="shared" si="0"/>
        <v>1.7355371900826446</v>
      </c>
    </row>
    <row r="16" spans="1:13" x14ac:dyDescent="0.25">
      <c r="A16">
        <v>400.14</v>
      </c>
      <c r="B16">
        <v>0.16</v>
      </c>
      <c r="C16">
        <v>0.18</v>
      </c>
      <c r="M16">
        <f t="shared" si="0"/>
        <v>0.44077134986225897</v>
      </c>
    </row>
    <row r="17" spans="1:13" x14ac:dyDescent="0.25">
      <c r="A17">
        <v>393.79</v>
      </c>
      <c r="B17">
        <v>0.09</v>
      </c>
      <c r="C17">
        <v>0.16</v>
      </c>
      <c r="M17">
        <f t="shared" si="0"/>
        <v>0.24793388429752067</v>
      </c>
    </row>
    <row r="18" spans="1:13" x14ac:dyDescent="0.25">
      <c r="A18">
        <v>416.23</v>
      </c>
      <c r="B18">
        <v>0.27</v>
      </c>
      <c r="C18">
        <v>0.33</v>
      </c>
      <c r="M18">
        <f t="shared" si="0"/>
        <v>0.74380165289256206</v>
      </c>
    </row>
    <row r="19" spans="1:13" x14ac:dyDescent="0.25">
      <c r="A19">
        <v>373.77</v>
      </c>
      <c r="B19">
        <v>0.41</v>
      </c>
      <c r="C19">
        <v>0.28000000000000003</v>
      </c>
      <c r="M19">
        <f t="shared" si="0"/>
        <v>1.1294765840220384</v>
      </c>
    </row>
    <row r="20" spans="1:13" x14ac:dyDescent="0.25">
      <c r="A20">
        <v>356.24</v>
      </c>
      <c r="B20">
        <v>0.34</v>
      </c>
      <c r="C20">
        <v>0.25</v>
      </c>
      <c r="M20">
        <f t="shared" si="0"/>
        <v>0.93663911845730041</v>
      </c>
    </row>
    <row r="21" spans="1:13" x14ac:dyDescent="0.25">
      <c r="A21">
        <v>385.24</v>
      </c>
      <c r="B21">
        <v>0.02</v>
      </c>
      <c r="C21">
        <v>0.14000000000000001</v>
      </c>
      <c r="M21">
        <f t="shared" si="0"/>
        <v>5.5096418732782371E-2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24"/>
  <dimension ref="A1:M21"/>
  <sheetViews>
    <sheetView workbookViewId="0">
      <selection activeCell="M21" sqref="M21"/>
    </sheetView>
  </sheetViews>
  <sheetFormatPr defaultRowHeight="14.4" x14ac:dyDescent="0.3"/>
  <sheetData>
    <row r="1" spans="1:13" x14ac:dyDescent="0.25">
      <c r="A1" t="s">
        <v>0</v>
      </c>
      <c r="B1" t="s">
        <v>1</v>
      </c>
      <c r="C1" t="s">
        <v>2</v>
      </c>
    </row>
    <row r="2" spans="1:13" x14ac:dyDescent="0.25">
      <c r="A2">
        <v>938.87</v>
      </c>
      <c r="B2">
        <v>0.45</v>
      </c>
      <c r="C2">
        <v>0.28000000000000003</v>
      </c>
      <c r="M2">
        <f t="shared" ref="M2:M21" si="0">B2/0.363</f>
        <v>1.2396694214876034</v>
      </c>
    </row>
    <row r="3" spans="1:13" x14ac:dyDescent="0.25">
      <c r="A3">
        <v>1022.04</v>
      </c>
      <c r="B3">
        <v>0.44</v>
      </c>
      <c r="C3">
        <v>0.27</v>
      </c>
      <c r="M3">
        <f t="shared" si="0"/>
        <v>1.2121212121212122</v>
      </c>
    </row>
    <row r="4" spans="1:13" x14ac:dyDescent="0.25">
      <c r="A4">
        <v>952.98</v>
      </c>
      <c r="B4">
        <v>0.31</v>
      </c>
      <c r="C4">
        <v>0.25</v>
      </c>
      <c r="M4">
        <f t="shared" si="0"/>
        <v>0.85399449035812669</v>
      </c>
    </row>
    <row r="5" spans="1:13" x14ac:dyDescent="0.25">
      <c r="A5">
        <v>1056.7</v>
      </c>
      <c r="B5">
        <v>0.31</v>
      </c>
      <c r="C5">
        <v>0.25</v>
      </c>
      <c r="M5">
        <f t="shared" si="0"/>
        <v>0.85399449035812669</v>
      </c>
    </row>
    <row r="6" spans="1:13" x14ac:dyDescent="0.25">
      <c r="A6">
        <v>915.33</v>
      </c>
      <c r="B6">
        <v>0.45</v>
      </c>
      <c r="C6">
        <v>0.28000000000000003</v>
      </c>
      <c r="M6">
        <f t="shared" si="0"/>
        <v>1.2396694214876034</v>
      </c>
    </row>
    <row r="7" spans="1:13" x14ac:dyDescent="0.25">
      <c r="A7">
        <v>1702.35</v>
      </c>
      <c r="B7">
        <v>0.3</v>
      </c>
      <c r="C7">
        <v>0.25</v>
      </c>
      <c r="M7">
        <f t="shared" si="0"/>
        <v>0.82644628099173556</v>
      </c>
    </row>
    <row r="8" spans="1:13" x14ac:dyDescent="0.25">
      <c r="A8">
        <v>900.67</v>
      </c>
      <c r="B8">
        <v>0.39</v>
      </c>
      <c r="C8">
        <v>0.26</v>
      </c>
      <c r="M8">
        <f t="shared" si="0"/>
        <v>1.0743801652892562</v>
      </c>
    </row>
    <row r="9" spans="1:13" x14ac:dyDescent="0.25">
      <c r="A9">
        <v>912.26</v>
      </c>
      <c r="B9">
        <v>0.41</v>
      </c>
      <c r="C9">
        <v>0.28000000000000003</v>
      </c>
      <c r="M9">
        <f t="shared" si="0"/>
        <v>1.1294765840220384</v>
      </c>
    </row>
    <row r="10" spans="1:13" x14ac:dyDescent="0.25">
      <c r="A10">
        <v>972.31</v>
      </c>
      <c r="B10">
        <v>0.28999999999999998</v>
      </c>
      <c r="C10">
        <v>0.25</v>
      </c>
      <c r="M10">
        <f t="shared" si="0"/>
        <v>0.79889807162534432</v>
      </c>
    </row>
    <row r="11" spans="1:13" x14ac:dyDescent="0.25">
      <c r="A11">
        <v>2094.08</v>
      </c>
      <c r="B11">
        <v>0.06</v>
      </c>
      <c r="C11">
        <v>0.16</v>
      </c>
      <c r="M11">
        <f t="shared" si="0"/>
        <v>0.16528925619834711</v>
      </c>
    </row>
    <row r="12" spans="1:13" x14ac:dyDescent="0.25">
      <c r="A12">
        <v>1030.3499999999999</v>
      </c>
      <c r="B12">
        <v>0.28999999999999998</v>
      </c>
      <c r="C12">
        <v>0.23</v>
      </c>
      <c r="M12">
        <f t="shared" si="0"/>
        <v>0.79889807162534432</v>
      </c>
    </row>
    <row r="13" spans="1:13" x14ac:dyDescent="0.25">
      <c r="A13">
        <v>956.98</v>
      </c>
      <c r="B13">
        <v>0.4</v>
      </c>
      <c r="C13">
        <v>0.26</v>
      </c>
      <c r="M13">
        <f t="shared" si="0"/>
        <v>1.1019283746556474</v>
      </c>
    </row>
    <row r="14" spans="1:13" x14ac:dyDescent="0.25">
      <c r="A14">
        <v>953.99</v>
      </c>
      <c r="B14">
        <v>0.38</v>
      </c>
      <c r="C14">
        <v>0.27</v>
      </c>
      <c r="M14">
        <f t="shared" si="0"/>
        <v>1.0468319559228652</v>
      </c>
    </row>
    <row r="15" spans="1:13" x14ac:dyDescent="0.25">
      <c r="A15">
        <v>874.57</v>
      </c>
      <c r="B15">
        <v>0.36</v>
      </c>
      <c r="C15">
        <v>0.26</v>
      </c>
      <c r="M15">
        <f t="shared" si="0"/>
        <v>0.99173553719008267</v>
      </c>
    </row>
    <row r="16" spans="1:13" x14ac:dyDescent="0.25">
      <c r="A16">
        <v>989.47</v>
      </c>
      <c r="B16">
        <v>0.6</v>
      </c>
      <c r="C16">
        <v>0.34</v>
      </c>
      <c r="M16">
        <f t="shared" si="0"/>
        <v>1.6528925619834711</v>
      </c>
    </row>
    <row r="17" spans="1:13" x14ac:dyDescent="0.25">
      <c r="A17">
        <v>1389.86</v>
      </c>
      <c r="B17">
        <v>0.12</v>
      </c>
      <c r="C17">
        <v>0.18</v>
      </c>
      <c r="M17">
        <f t="shared" si="0"/>
        <v>0.33057851239669422</v>
      </c>
    </row>
    <row r="18" spans="1:13" x14ac:dyDescent="0.25">
      <c r="A18">
        <v>898.26</v>
      </c>
      <c r="B18">
        <v>0.3</v>
      </c>
      <c r="C18">
        <v>0.25</v>
      </c>
      <c r="M18">
        <f t="shared" si="0"/>
        <v>0.82644628099173556</v>
      </c>
    </row>
    <row r="19" spans="1:13" x14ac:dyDescent="0.25">
      <c r="A19">
        <v>917.83</v>
      </c>
      <c r="B19">
        <v>0.51</v>
      </c>
      <c r="C19">
        <v>0.32</v>
      </c>
      <c r="M19">
        <f t="shared" si="0"/>
        <v>1.4049586776859504</v>
      </c>
    </row>
    <row r="20" spans="1:13" x14ac:dyDescent="0.25">
      <c r="A20">
        <v>942.46</v>
      </c>
      <c r="B20">
        <v>0.56000000000000005</v>
      </c>
      <c r="C20">
        <v>0.33</v>
      </c>
      <c r="M20">
        <f t="shared" si="0"/>
        <v>1.5426997245179066</v>
      </c>
    </row>
    <row r="21" spans="1:13" x14ac:dyDescent="0.25">
      <c r="A21">
        <v>897.57</v>
      </c>
      <c r="B21">
        <v>0.43</v>
      </c>
      <c r="C21">
        <v>0.3</v>
      </c>
      <c r="M21">
        <f t="shared" si="0"/>
        <v>1.1845730027548209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20"/>
  <dimension ref="A1:M21"/>
  <sheetViews>
    <sheetView workbookViewId="0">
      <selection activeCell="M21" sqref="M21"/>
    </sheetView>
  </sheetViews>
  <sheetFormatPr defaultRowHeight="14.4" x14ac:dyDescent="0.3"/>
  <sheetData>
    <row r="1" spans="1:13" x14ac:dyDescent="0.25">
      <c r="A1" t="s">
        <v>0</v>
      </c>
      <c r="B1" t="s">
        <v>1</v>
      </c>
      <c r="C1" t="s">
        <v>2</v>
      </c>
      <c r="F1" t="s">
        <v>31</v>
      </c>
    </row>
    <row r="2" spans="1:13" x14ac:dyDescent="0.25">
      <c r="A2">
        <v>82.41</v>
      </c>
      <c r="B2">
        <v>0.02</v>
      </c>
      <c r="C2">
        <v>0.15</v>
      </c>
      <c r="F2">
        <f>_xlfn.T.TEST(B2:B21,control!B2:B21,1,3)</f>
        <v>5.7930889388818272E-4</v>
      </c>
      <c r="M2">
        <f t="shared" ref="M2:M21" si="0">B2/0.363</f>
        <v>5.5096418732782371E-2</v>
      </c>
    </row>
    <row r="3" spans="1:13" x14ac:dyDescent="0.25">
      <c r="A3">
        <v>125.3</v>
      </c>
      <c r="B3">
        <v>0.17</v>
      </c>
      <c r="C3">
        <v>0.18</v>
      </c>
      <c r="M3">
        <f t="shared" si="0"/>
        <v>0.46831955922865021</v>
      </c>
    </row>
    <row r="4" spans="1:13" x14ac:dyDescent="0.25">
      <c r="A4">
        <v>96.98</v>
      </c>
      <c r="B4">
        <v>0.3</v>
      </c>
      <c r="C4">
        <v>0.26</v>
      </c>
      <c r="M4">
        <f t="shared" si="0"/>
        <v>0.82644628099173556</v>
      </c>
    </row>
    <row r="5" spans="1:13" x14ac:dyDescent="0.25">
      <c r="A5">
        <v>94.08</v>
      </c>
      <c r="B5">
        <v>0.03</v>
      </c>
      <c r="C5">
        <v>0.15</v>
      </c>
      <c r="M5">
        <f t="shared" si="0"/>
        <v>8.2644628099173556E-2</v>
      </c>
    </row>
    <row r="6" spans="1:13" x14ac:dyDescent="0.25">
      <c r="A6">
        <v>69.69</v>
      </c>
      <c r="B6">
        <v>0.21</v>
      </c>
      <c r="C6">
        <v>0.25</v>
      </c>
      <c r="M6">
        <f t="shared" si="0"/>
        <v>0.57851239669421484</v>
      </c>
    </row>
    <row r="7" spans="1:13" x14ac:dyDescent="0.25">
      <c r="A7">
        <v>99.55</v>
      </c>
      <c r="B7">
        <v>0.01</v>
      </c>
      <c r="C7">
        <v>0.14000000000000001</v>
      </c>
      <c r="M7">
        <f t="shared" si="0"/>
        <v>2.7548209366391185E-2</v>
      </c>
    </row>
    <row r="8" spans="1:13" x14ac:dyDescent="0.25">
      <c r="A8">
        <v>89.36</v>
      </c>
      <c r="B8">
        <v>0.11</v>
      </c>
      <c r="C8">
        <v>0.17</v>
      </c>
      <c r="M8">
        <f t="shared" si="0"/>
        <v>0.30303030303030304</v>
      </c>
    </row>
    <row r="9" spans="1:13" x14ac:dyDescent="0.25">
      <c r="A9">
        <v>63.73</v>
      </c>
      <c r="B9">
        <v>0.48</v>
      </c>
      <c r="C9">
        <v>0.28999999999999998</v>
      </c>
      <c r="M9">
        <f t="shared" si="0"/>
        <v>1.3223140495867769</v>
      </c>
    </row>
    <row r="10" spans="1:13" x14ac:dyDescent="0.25">
      <c r="A10">
        <v>77.180000000000007</v>
      </c>
      <c r="B10">
        <v>0.14000000000000001</v>
      </c>
      <c r="C10">
        <v>0.19</v>
      </c>
      <c r="M10">
        <f t="shared" si="0"/>
        <v>0.38567493112947665</v>
      </c>
    </row>
    <row r="11" spans="1:13" x14ac:dyDescent="0.25">
      <c r="A11">
        <v>60.97</v>
      </c>
      <c r="B11">
        <v>0.28999999999999998</v>
      </c>
      <c r="C11">
        <v>0.25</v>
      </c>
      <c r="M11">
        <f t="shared" si="0"/>
        <v>0.79889807162534432</v>
      </c>
    </row>
    <row r="12" spans="1:13" x14ac:dyDescent="0.25">
      <c r="A12">
        <v>85.93</v>
      </c>
      <c r="B12">
        <v>0.01</v>
      </c>
      <c r="C12">
        <v>0.14000000000000001</v>
      </c>
      <c r="M12">
        <f t="shared" si="0"/>
        <v>2.7548209366391185E-2</v>
      </c>
    </row>
    <row r="13" spans="1:13" x14ac:dyDescent="0.25">
      <c r="A13">
        <v>97.77</v>
      </c>
      <c r="B13">
        <v>0.2</v>
      </c>
      <c r="C13">
        <v>0.2</v>
      </c>
      <c r="M13">
        <f t="shared" si="0"/>
        <v>0.55096418732782371</v>
      </c>
    </row>
    <row r="14" spans="1:13" x14ac:dyDescent="0.25">
      <c r="A14">
        <v>70.2</v>
      </c>
      <c r="B14">
        <v>0.51</v>
      </c>
      <c r="C14">
        <v>0.32</v>
      </c>
      <c r="M14">
        <f t="shared" si="0"/>
        <v>1.4049586776859504</v>
      </c>
    </row>
    <row r="15" spans="1:13" x14ac:dyDescent="0.25">
      <c r="A15">
        <v>54.06</v>
      </c>
      <c r="B15">
        <v>0.03</v>
      </c>
      <c r="C15">
        <v>0.15</v>
      </c>
      <c r="M15">
        <f t="shared" si="0"/>
        <v>8.2644628099173556E-2</v>
      </c>
    </row>
    <row r="16" spans="1:13" x14ac:dyDescent="0.25">
      <c r="A16">
        <v>83.21</v>
      </c>
      <c r="B16">
        <v>0.21</v>
      </c>
      <c r="C16">
        <v>0.22</v>
      </c>
      <c r="M16">
        <f t="shared" si="0"/>
        <v>0.57851239669421484</v>
      </c>
    </row>
    <row r="17" spans="1:13" x14ac:dyDescent="0.25">
      <c r="A17">
        <v>88.04</v>
      </c>
      <c r="B17">
        <v>0.1</v>
      </c>
      <c r="C17">
        <v>0.21</v>
      </c>
      <c r="M17">
        <f t="shared" si="0"/>
        <v>0.27548209366391185</v>
      </c>
    </row>
    <row r="18" spans="1:13" x14ac:dyDescent="0.25">
      <c r="A18">
        <v>89.49</v>
      </c>
      <c r="B18">
        <v>0.01</v>
      </c>
      <c r="C18">
        <v>0.15</v>
      </c>
      <c r="M18">
        <f t="shared" si="0"/>
        <v>2.7548209366391185E-2</v>
      </c>
    </row>
    <row r="19" spans="1:13" x14ac:dyDescent="0.25">
      <c r="A19">
        <v>58.17</v>
      </c>
      <c r="B19">
        <v>0.2</v>
      </c>
      <c r="C19">
        <v>0.22</v>
      </c>
      <c r="M19">
        <f t="shared" si="0"/>
        <v>0.55096418732782371</v>
      </c>
    </row>
    <row r="20" spans="1:13" x14ac:dyDescent="0.25">
      <c r="A20">
        <v>53.31</v>
      </c>
      <c r="B20">
        <v>0.28999999999999998</v>
      </c>
      <c r="C20">
        <v>0.22</v>
      </c>
      <c r="M20">
        <f t="shared" si="0"/>
        <v>0.79889807162534432</v>
      </c>
    </row>
    <row r="21" spans="1:13" x14ac:dyDescent="0.25">
      <c r="A21">
        <v>74.48</v>
      </c>
      <c r="B21">
        <v>0.09</v>
      </c>
      <c r="C21">
        <v>0.22</v>
      </c>
      <c r="M21">
        <f t="shared" si="0"/>
        <v>0.24793388429752067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0"/>
  <dimension ref="A1:M21"/>
  <sheetViews>
    <sheetView workbookViewId="0">
      <selection activeCell="M21" sqref="M21"/>
    </sheetView>
  </sheetViews>
  <sheetFormatPr defaultRowHeight="14.4" x14ac:dyDescent="0.3"/>
  <cols>
    <col min="6" max="6" width="12" bestFit="1" customWidth="1"/>
  </cols>
  <sheetData>
    <row r="1" spans="1:13" x14ac:dyDescent="0.25">
      <c r="A1" t="s">
        <v>0</v>
      </c>
      <c r="B1" t="s">
        <v>1</v>
      </c>
      <c r="C1" t="s">
        <v>2</v>
      </c>
      <c r="F1" t="s">
        <v>31</v>
      </c>
      <c r="G1" t="s">
        <v>32</v>
      </c>
    </row>
    <row r="2" spans="1:13" x14ac:dyDescent="0.25">
      <c r="A2">
        <v>63.6</v>
      </c>
      <c r="B2">
        <v>0.05</v>
      </c>
      <c r="C2">
        <v>0.17</v>
      </c>
      <c r="F2" s="2">
        <f>_xlfn.T.TEST(B2:B21,control!B2:B21,1,3)</f>
        <v>1.005864801433401E-6</v>
      </c>
      <c r="G2">
        <f>_xlfn.T.TEST(B2:B21,'small-batchsize'!B2:B21,1,3)</f>
        <v>8.9052177621406978E-3</v>
      </c>
      <c r="M2">
        <f t="shared" ref="M2:M21" si="0">B2/0.363</f>
        <v>0.13774104683195593</v>
      </c>
    </row>
    <row r="3" spans="1:13" x14ac:dyDescent="0.25">
      <c r="A3">
        <v>71.84</v>
      </c>
      <c r="B3">
        <v>0.02</v>
      </c>
      <c r="C3">
        <v>0.15</v>
      </c>
      <c r="M3">
        <f t="shared" si="0"/>
        <v>5.5096418732782371E-2</v>
      </c>
    </row>
    <row r="4" spans="1:13" x14ac:dyDescent="0.25">
      <c r="A4">
        <v>99.84</v>
      </c>
      <c r="B4">
        <v>0.12</v>
      </c>
      <c r="C4">
        <v>0.19</v>
      </c>
      <c r="M4">
        <f t="shared" si="0"/>
        <v>0.33057851239669422</v>
      </c>
    </row>
    <row r="5" spans="1:13" x14ac:dyDescent="0.25">
      <c r="A5">
        <v>67.59</v>
      </c>
      <c r="B5">
        <v>0.03</v>
      </c>
      <c r="C5">
        <v>0.17</v>
      </c>
      <c r="M5">
        <f t="shared" si="0"/>
        <v>8.2644628099173556E-2</v>
      </c>
    </row>
    <row r="6" spans="1:13" x14ac:dyDescent="0.25">
      <c r="A6">
        <v>131.22999999999999</v>
      </c>
      <c r="B6">
        <v>0.19</v>
      </c>
      <c r="C6">
        <v>0.2</v>
      </c>
      <c r="M6">
        <f t="shared" si="0"/>
        <v>0.52341597796143258</v>
      </c>
    </row>
    <row r="7" spans="1:13" x14ac:dyDescent="0.25">
      <c r="A7">
        <v>114.4</v>
      </c>
      <c r="B7">
        <v>0.01</v>
      </c>
      <c r="C7">
        <v>0.17</v>
      </c>
      <c r="M7">
        <f t="shared" si="0"/>
        <v>2.7548209366391185E-2</v>
      </c>
    </row>
    <row r="8" spans="1:13" x14ac:dyDescent="0.25">
      <c r="A8">
        <v>85.46</v>
      </c>
      <c r="B8">
        <v>0.21</v>
      </c>
      <c r="C8">
        <v>0.21</v>
      </c>
      <c r="M8">
        <f t="shared" si="0"/>
        <v>0.57851239669421484</v>
      </c>
    </row>
    <row r="9" spans="1:13" x14ac:dyDescent="0.25">
      <c r="A9">
        <v>73.66</v>
      </c>
      <c r="B9">
        <v>0.02</v>
      </c>
      <c r="C9">
        <v>0.15</v>
      </c>
      <c r="M9">
        <f t="shared" si="0"/>
        <v>5.5096418732782371E-2</v>
      </c>
    </row>
    <row r="10" spans="1:13" x14ac:dyDescent="0.25">
      <c r="A10">
        <v>76.39</v>
      </c>
      <c r="B10">
        <v>0.01</v>
      </c>
      <c r="C10">
        <v>0.12</v>
      </c>
      <c r="M10">
        <f t="shared" si="0"/>
        <v>2.7548209366391185E-2</v>
      </c>
    </row>
    <row r="11" spans="1:13" x14ac:dyDescent="0.25">
      <c r="A11">
        <v>133.38999999999999</v>
      </c>
      <c r="B11">
        <v>0.05</v>
      </c>
      <c r="C11">
        <v>0.15</v>
      </c>
      <c r="M11">
        <f t="shared" si="0"/>
        <v>0.13774104683195593</v>
      </c>
    </row>
    <row r="12" spans="1:13" x14ac:dyDescent="0.25">
      <c r="A12">
        <v>87.15</v>
      </c>
      <c r="B12">
        <v>0.02</v>
      </c>
      <c r="C12">
        <v>0.14000000000000001</v>
      </c>
      <c r="M12">
        <f t="shared" si="0"/>
        <v>5.5096418732782371E-2</v>
      </c>
    </row>
    <row r="13" spans="1:13" x14ac:dyDescent="0.25">
      <c r="A13">
        <v>60.41</v>
      </c>
      <c r="B13">
        <v>0.14000000000000001</v>
      </c>
      <c r="C13">
        <v>0.18</v>
      </c>
      <c r="M13">
        <f t="shared" si="0"/>
        <v>0.38567493112947665</v>
      </c>
    </row>
    <row r="14" spans="1:13" x14ac:dyDescent="0.25">
      <c r="A14">
        <v>66.27</v>
      </c>
      <c r="B14">
        <v>0.03</v>
      </c>
      <c r="C14">
        <v>0.14000000000000001</v>
      </c>
      <c r="M14">
        <f t="shared" si="0"/>
        <v>8.2644628099173556E-2</v>
      </c>
    </row>
    <row r="15" spans="1:13" x14ac:dyDescent="0.25">
      <c r="A15">
        <v>72.58</v>
      </c>
      <c r="B15">
        <v>0.15</v>
      </c>
      <c r="C15">
        <v>0.2</v>
      </c>
      <c r="M15">
        <f t="shared" si="0"/>
        <v>0.41322314049586778</v>
      </c>
    </row>
    <row r="16" spans="1:13" x14ac:dyDescent="0.25">
      <c r="A16">
        <v>102.49</v>
      </c>
      <c r="B16">
        <v>0.03</v>
      </c>
      <c r="C16">
        <v>0.14000000000000001</v>
      </c>
      <c r="M16">
        <f t="shared" si="0"/>
        <v>8.2644628099173556E-2</v>
      </c>
    </row>
    <row r="17" spans="1:13" x14ac:dyDescent="0.25">
      <c r="A17">
        <v>81.02</v>
      </c>
      <c r="B17">
        <v>0.02</v>
      </c>
      <c r="C17">
        <v>0.18</v>
      </c>
      <c r="M17">
        <f t="shared" si="0"/>
        <v>5.5096418732782371E-2</v>
      </c>
    </row>
    <row r="18" spans="1:13" x14ac:dyDescent="0.25">
      <c r="A18">
        <v>60.61</v>
      </c>
      <c r="B18">
        <v>0.26</v>
      </c>
      <c r="C18">
        <v>0.25</v>
      </c>
      <c r="M18">
        <f t="shared" si="0"/>
        <v>0.71625344352617082</v>
      </c>
    </row>
    <row r="19" spans="1:13" x14ac:dyDescent="0.25">
      <c r="A19">
        <v>97.38</v>
      </c>
      <c r="B19">
        <v>0.13</v>
      </c>
      <c r="C19">
        <v>0.18</v>
      </c>
      <c r="M19">
        <f t="shared" si="0"/>
        <v>0.35812672176308541</v>
      </c>
    </row>
    <row r="20" spans="1:13" x14ac:dyDescent="0.25">
      <c r="A20">
        <v>70.19</v>
      </c>
      <c r="B20">
        <v>0.01</v>
      </c>
      <c r="C20">
        <v>0.13</v>
      </c>
      <c r="M20">
        <f t="shared" si="0"/>
        <v>2.7548209366391185E-2</v>
      </c>
    </row>
    <row r="21" spans="1:13" x14ac:dyDescent="0.25">
      <c r="A21">
        <v>78.73</v>
      </c>
      <c r="B21">
        <v>0.03</v>
      </c>
      <c r="C21">
        <v>0.16</v>
      </c>
      <c r="M21">
        <f t="shared" si="0"/>
        <v>8.2644628099173556E-2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25"/>
  <dimension ref="A1:M21"/>
  <sheetViews>
    <sheetView workbookViewId="0">
      <selection activeCell="M21" sqref="M21"/>
    </sheetView>
  </sheetViews>
  <sheetFormatPr defaultRowHeight="14.4" x14ac:dyDescent="0.3"/>
  <sheetData>
    <row r="1" spans="1:13" x14ac:dyDescent="0.25">
      <c r="A1" t="s">
        <v>0</v>
      </c>
      <c r="B1" t="s">
        <v>1</v>
      </c>
      <c r="C1" t="s">
        <v>2</v>
      </c>
    </row>
    <row r="2" spans="1:13" x14ac:dyDescent="0.25">
      <c r="A2">
        <v>82.57</v>
      </c>
      <c r="B2">
        <v>0.03</v>
      </c>
      <c r="C2">
        <v>0.17</v>
      </c>
      <c r="M2">
        <f t="shared" ref="M2:M21" si="0">B2/0.363</f>
        <v>8.2644628099173556E-2</v>
      </c>
    </row>
    <row r="3" spans="1:13" x14ac:dyDescent="0.25">
      <c r="A3">
        <v>150.15</v>
      </c>
      <c r="B3">
        <v>0.22</v>
      </c>
      <c r="C3">
        <v>0.24</v>
      </c>
      <c r="M3">
        <f t="shared" si="0"/>
        <v>0.60606060606060608</v>
      </c>
    </row>
    <row r="4" spans="1:13" x14ac:dyDescent="0.25">
      <c r="A4">
        <v>58.08</v>
      </c>
      <c r="B4">
        <v>0.01</v>
      </c>
      <c r="C4">
        <v>0.17</v>
      </c>
      <c r="M4">
        <f t="shared" si="0"/>
        <v>2.7548209366391185E-2</v>
      </c>
    </row>
    <row r="5" spans="1:13" x14ac:dyDescent="0.25">
      <c r="A5">
        <v>42.76</v>
      </c>
      <c r="B5">
        <v>7.0000000000000007E-2</v>
      </c>
      <c r="C5">
        <v>0.19</v>
      </c>
      <c r="M5">
        <f t="shared" si="0"/>
        <v>0.19283746556473833</v>
      </c>
    </row>
    <row r="6" spans="1:13" x14ac:dyDescent="0.25">
      <c r="A6">
        <v>182.31</v>
      </c>
      <c r="B6">
        <v>0.01</v>
      </c>
      <c r="C6">
        <v>0.14000000000000001</v>
      </c>
      <c r="M6">
        <f t="shared" si="0"/>
        <v>2.7548209366391185E-2</v>
      </c>
    </row>
    <row r="7" spans="1:13" x14ac:dyDescent="0.25">
      <c r="A7">
        <v>174.48</v>
      </c>
      <c r="B7">
        <v>0.25</v>
      </c>
      <c r="C7">
        <v>0.25</v>
      </c>
      <c r="M7">
        <f t="shared" si="0"/>
        <v>0.68870523415977969</v>
      </c>
    </row>
    <row r="8" spans="1:13" x14ac:dyDescent="0.25">
      <c r="A8">
        <v>153.63</v>
      </c>
      <c r="B8">
        <v>0.34</v>
      </c>
      <c r="C8">
        <v>0.25</v>
      </c>
      <c r="M8">
        <f t="shared" si="0"/>
        <v>0.93663911845730041</v>
      </c>
    </row>
    <row r="9" spans="1:13" x14ac:dyDescent="0.25">
      <c r="A9">
        <v>102.42</v>
      </c>
      <c r="B9">
        <v>0.16</v>
      </c>
      <c r="C9">
        <v>0.19</v>
      </c>
      <c r="M9">
        <f t="shared" si="0"/>
        <v>0.44077134986225897</v>
      </c>
    </row>
    <row r="10" spans="1:13" x14ac:dyDescent="0.25">
      <c r="A10">
        <v>120.62</v>
      </c>
      <c r="B10">
        <v>0.3</v>
      </c>
      <c r="C10">
        <v>0.25</v>
      </c>
      <c r="M10">
        <f t="shared" si="0"/>
        <v>0.82644628099173556</v>
      </c>
    </row>
    <row r="11" spans="1:13" x14ac:dyDescent="0.25">
      <c r="A11">
        <v>135.41999999999999</v>
      </c>
      <c r="B11">
        <v>0.04</v>
      </c>
      <c r="C11">
        <v>0.17</v>
      </c>
      <c r="M11">
        <f t="shared" si="0"/>
        <v>0.11019283746556474</v>
      </c>
    </row>
    <row r="12" spans="1:13" x14ac:dyDescent="0.25">
      <c r="A12">
        <v>117.89</v>
      </c>
      <c r="B12">
        <v>0.4</v>
      </c>
      <c r="C12">
        <v>0.27</v>
      </c>
      <c r="M12">
        <f t="shared" si="0"/>
        <v>1.1019283746556474</v>
      </c>
    </row>
    <row r="13" spans="1:13" x14ac:dyDescent="0.25">
      <c r="A13">
        <v>135.91</v>
      </c>
      <c r="B13">
        <v>0.09</v>
      </c>
      <c r="C13">
        <v>0.18</v>
      </c>
      <c r="M13">
        <f t="shared" si="0"/>
        <v>0.24793388429752067</v>
      </c>
    </row>
    <row r="14" spans="1:13" x14ac:dyDescent="0.25">
      <c r="A14">
        <v>63.21</v>
      </c>
      <c r="B14">
        <v>0.01</v>
      </c>
      <c r="C14">
        <v>0.18</v>
      </c>
      <c r="M14">
        <f t="shared" si="0"/>
        <v>2.7548209366391185E-2</v>
      </c>
    </row>
    <row r="15" spans="1:13" x14ac:dyDescent="0.25">
      <c r="A15">
        <v>112.72</v>
      </c>
      <c r="B15">
        <v>0.43</v>
      </c>
      <c r="C15">
        <v>0.28000000000000003</v>
      </c>
      <c r="M15">
        <f t="shared" si="0"/>
        <v>1.1845730027548209</v>
      </c>
    </row>
    <row r="16" spans="1:13" x14ac:dyDescent="0.25">
      <c r="A16">
        <v>46.8</v>
      </c>
      <c r="B16">
        <v>0.19</v>
      </c>
      <c r="C16">
        <v>0.21</v>
      </c>
      <c r="M16">
        <f t="shared" si="0"/>
        <v>0.52341597796143258</v>
      </c>
    </row>
    <row r="17" spans="1:13" x14ac:dyDescent="0.25">
      <c r="A17">
        <v>148.6</v>
      </c>
      <c r="B17">
        <v>0.31</v>
      </c>
      <c r="C17">
        <v>0.24</v>
      </c>
      <c r="M17">
        <f t="shared" si="0"/>
        <v>0.85399449035812669</v>
      </c>
    </row>
    <row r="18" spans="1:13" x14ac:dyDescent="0.25">
      <c r="A18">
        <v>61.69</v>
      </c>
      <c r="B18">
        <v>0.02</v>
      </c>
      <c r="C18">
        <v>0.16</v>
      </c>
      <c r="M18">
        <f t="shared" si="0"/>
        <v>5.5096418732782371E-2</v>
      </c>
    </row>
    <row r="19" spans="1:13" x14ac:dyDescent="0.25">
      <c r="A19">
        <v>124.9</v>
      </c>
      <c r="B19">
        <v>0.27</v>
      </c>
      <c r="C19">
        <v>0.24</v>
      </c>
      <c r="M19">
        <f t="shared" si="0"/>
        <v>0.74380165289256206</v>
      </c>
    </row>
    <row r="20" spans="1:13" x14ac:dyDescent="0.25">
      <c r="A20">
        <v>150.34</v>
      </c>
      <c r="B20">
        <v>0.42</v>
      </c>
      <c r="C20">
        <v>0.28999999999999998</v>
      </c>
      <c r="M20">
        <f t="shared" si="0"/>
        <v>1.1570247933884297</v>
      </c>
    </row>
    <row r="21" spans="1:13" x14ac:dyDescent="0.25">
      <c r="A21">
        <v>134.6</v>
      </c>
      <c r="B21">
        <v>0.41</v>
      </c>
      <c r="C21">
        <v>0.27</v>
      </c>
      <c r="M21">
        <f t="shared" si="0"/>
        <v>1.1294765840220384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26"/>
  <dimension ref="A1:M21"/>
  <sheetViews>
    <sheetView workbookViewId="0">
      <selection activeCell="M21" sqref="M21"/>
    </sheetView>
  </sheetViews>
  <sheetFormatPr defaultRowHeight="14.4" x14ac:dyDescent="0.3"/>
  <sheetData>
    <row r="1" spans="1:13" x14ac:dyDescent="0.25">
      <c r="A1" t="s">
        <v>0</v>
      </c>
      <c r="B1" t="s">
        <v>1</v>
      </c>
      <c r="C1" t="s">
        <v>2</v>
      </c>
    </row>
    <row r="2" spans="1:13" x14ac:dyDescent="0.25">
      <c r="A2">
        <v>177.58</v>
      </c>
      <c r="B2">
        <v>0.44</v>
      </c>
      <c r="C2">
        <v>0.28999999999999998</v>
      </c>
      <c r="M2">
        <f t="shared" ref="M2:M21" si="0">B2/0.363</f>
        <v>1.2121212121212122</v>
      </c>
    </row>
    <row r="3" spans="1:13" x14ac:dyDescent="0.25">
      <c r="A3">
        <v>129.21</v>
      </c>
      <c r="B3">
        <v>0.11</v>
      </c>
      <c r="C3">
        <v>0.19</v>
      </c>
      <c r="M3">
        <f t="shared" si="0"/>
        <v>0.30303030303030304</v>
      </c>
    </row>
    <row r="4" spans="1:13" x14ac:dyDescent="0.25">
      <c r="A4">
        <v>117.57</v>
      </c>
      <c r="B4">
        <v>0.3</v>
      </c>
      <c r="C4">
        <v>0.25</v>
      </c>
      <c r="M4">
        <f t="shared" si="0"/>
        <v>0.82644628099173556</v>
      </c>
    </row>
    <row r="5" spans="1:13" x14ac:dyDescent="0.25">
      <c r="A5">
        <v>182.19</v>
      </c>
      <c r="B5">
        <v>0.53</v>
      </c>
      <c r="C5">
        <v>0.35</v>
      </c>
      <c r="M5">
        <f t="shared" si="0"/>
        <v>1.4600550964187329</v>
      </c>
    </row>
    <row r="6" spans="1:13" x14ac:dyDescent="0.25">
      <c r="A6">
        <v>43.09</v>
      </c>
      <c r="B6">
        <v>0</v>
      </c>
      <c r="C6">
        <v>0.14000000000000001</v>
      </c>
      <c r="M6">
        <f t="shared" si="0"/>
        <v>0</v>
      </c>
    </row>
    <row r="7" spans="1:13" x14ac:dyDescent="0.25">
      <c r="A7">
        <v>154.55000000000001</v>
      </c>
      <c r="B7">
        <v>0.28999999999999998</v>
      </c>
      <c r="C7">
        <v>0.25</v>
      </c>
      <c r="M7">
        <f t="shared" si="0"/>
        <v>0.79889807162534432</v>
      </c>
    </row>
    <row r="8" spans="1:13" x14ac:dyDescent="0.25">
      <c r="A8">
        <v>254.56</v>
      </c>
      <c r="B8">
        <v>0.36</v>
      </c>
      <c r="C8">
        <v>0.27</v>
      </c>
      <c r="M8">
        <f t="shared" si="0"/>
        <v>0.99173553719008267</v>
      </c>
    </row>
    <row r="9" spans="1:13" x14ac:dyDescent="0.25">
      <c r="A9">
        <v>85.5</v>
      </c>
      <c r="B9">
        <v>0.49</v>
      </c>
      <c r="C9">
        <v>0.3</v>
      </c>
      <c r="M9">
        <f t="shared" si="0"/>
        <v>1.3498622589531681</v>
      </c>
    </row>
    <row r="10" spans="1:13" x14ac:dyDescent="0.25">
      <c r="A10">
        <v>167.07</v>
      </c>
      <c r="B10">
        <v>0.26</v>
      </c>
      <c r="C10">
        <v>0.31</v>
      </c>
      <c r="M10">
        <f t="shared" si="0"/>
        <v>0.71625344352617082</v>
      </c>
    </row>
    <row r="11" spans="1:13" x14ac:dyDescent="0.25">
      <c r="A11">
        <v>132.97999999999999</v>
      </c>
      <c r="B11">
        <v>0.2</v>
      </c>
      <c r="C11">
        <v>0.21</v>
      </c>
      <c r="M11">
        <f t="shared" si="0"/>
        <v>0.55096418732782371</v>
      </c>
    </row>
    <row r="12" spans="1:13" x14ac:dyDescent="0.25">
      <c r="A12">
        <v>182.48</v>
      </c>
      <c r="B12">
        <v>0.23</v>
      </c>
      <c r="C12">
        <v>0.21</v>
      </c>
      <c r="M12">
        <f t="shared" si="0"/>
        <v>0.63360881542699732</v>
      </c>
    </row>
    <row r="13" spans="1:13" x14ac:dyDescent="0.25">
      <c r="A13">
        <v>275.47000000000003</v>
      </c>
      <c r="B13">
        <v>0.01</v>
      </c>
      <c r="C13">
        <v>0.13</v>
      </c>
      <c r="M13">
        <f t="shared" si="0"/>
        <v>2.7548209366391185E-2</v>
      </c>
    </row>
    <row r="14" spans="1:13" x14ac:dyDescent="0.25">
      <c r="A14">
        <v>178.85</v>
      </c>
      <c r="B14">
        <v>0.3</v>
      </c>
      <c r="C14">
        <v>0.24</v>
      </c>
      <c r="M14">
        <f t="shared" si="0"/>
        <v>0.82644628099173556</v>
      </c>
    </row>
    <row r="15" spans="1:13" x14ac:dyDescent="0.25">
      <c r="A15">
        <v>134.38999999999999</v>
      </c>
      <c r="B15">
        <v>0.31</v>
      </c>
      <c r="C15">
        <v>0.24</v>
      </c>
      <c r="M15">
        <f t="shared" si="0"/>
        <v>0.85399449035812669</v>
      </c>
    </row>
    <row r="16" spans="1:13" x14ac:dyDescent="0.25">
      <c r="A16">
        <v>226.97</v>
      </c>
      <c r="B16">
        <v>0.41</v>
      </c>
      <c r="C16">
        <v>0.41</v>
      </c>
      <c r="M16">
        <f t="shared" si="0"/>
        <v>1.1294765840220384</v>
      </c>
    </row>
    <row r="17" spans="1:13" x14ac:dyDescent="0.25">
      <c r="A17">
        <v>30.81</v>
      </c>
      <c r="B17">
        <v>0.03</v>
      </c>
      <c r="C17">
        <v>0.16</v>
      </c>
      <c r="M17">
        <f t="shared" si="0"/>
        <v>8.2644628099173556E-2</v>
      </c>
    </row>
    <row r="18" spans="1:13" x14ac:dyDescent="0.25">
      <c r="A18">
        <v>226.66</v>
      </c>
      <c r="B18">
        <v>0.47</v>
      </c>
      <c r="C18">
        <v>0.3</v>
      </c>
      <c r="M18">
        <f t="shared" si="0"/>
        <v>1.2947658402203857</v>
      </c>
    </row>
    <row r="19" spans="1:13" x14ac:dyDescent="0.25">
      <c r="A19">
        <v>199.43</v>
      </c>
      <c r="B19">
        <v>0.53</v>
      </c>
      <c r="C19">
        <v>0.39</v>
      </c>
      <c r="M19">
        <f t="shared" si="0"/>
        <v>1.4600550964187329</v>
      </c>
    </row>
    <row r="20" spans="1:13" x14ac:dyDescent="0.25">
      <c r="A20">
        <v>148.53</v>
      </c>
      <c r="B20">
        <v>0.27</v>
      </c>
      <c r="C20">
        <v>0.25</v>
      </c>
      <c r="M20">
        <f t="shared" si="0"/>
        <v>0.74380165289256206</v>
      </c>
    </row>
    <row r="21" spans="1:13" x14ac:dyDescent="0.25">
      <c r="A21">
        <v>224.49</v>
      </c>
      <c r="B21">
        <v>0.32</v>
      </c>
      <c r="C21">
        <v>0.25</v>
      </c>
      <c r="M21">
        <f t="shared" si="0"/>
        <v>0.88154269972451793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6"/>
  <dimension ref="A1:M21"/>
  <sheetViews>
    <sheetView workbookViewId="0">
      <selection activeCell="M21" sqref="M21"/>
    </sheetView>
  </sheetViews>
  <sheetFormatPr defaultRowHeight="14.4" x14ac:dyDescent="0.3"/>
  <sheetData>
    <row r="1" spans="1:13" x14ac:dyDescent="0.25">
      <c r="A1" t="s">
        <v>0</v>
      </c>
      <c r="B1" t="s">
        <v>1</v>
      </c>
      <c r="C1" t="s">
        <v>2</v>
      </c>
    </row>
    <row r="2" spans="1:13" x14ac:dyDescent="0.25">
      <c r="A2">
        <v>1133.1500000000001</v>
      </c>
      <c r="B2">
        <v>0.02</v>
      </c>
      <c r="C2">
        <v>0.15</v>
      </c>
      <c r="M2">
        <f t="shared" ref="M2:M21" si="0">B2/0.363</f>
        <v>5.5096418732782371E-2</v>
      </c>
    </row>
    <row r="3" spans="1:13" x14ac:dyDescent="0.25">
      <c r="A3">
        <v>1051.92</v>
      </c>
      <c r="B3">
        <v>0.12</v>
      </c>
      <c r="C3">
        <v>0.21</v>
      </c>
      <c r="M3">
        <f t="shared" si="0"/>
        <v>0.33057851239669422</v>
      </c>
    </row>
    <row r="4" spans="1:13" x14ac:dyDescent="0.25">
      <c r="A4">
        <v>594.62</v>
      </c>
      <c r="B4">
        <v>0.09</v>
      </c>
      <c r="C4">
        <v>0.25</v>
      </c>
      <c r="M4">
        <f t="shared" si="0"/>
        <v>0.24793388429752067</v>
      </c>
    </row>
    <row r="5" spans="1:13" x14ac:dyDescent="0.25">
      <c r="A5">
        <v>605.28</v>
      </c>
      <c r="B5">
        <v>0.01</v>
      </c>
      <c r="C5">
        <v>0.14000000000000001</v>
      </c>
      <c r="M5">
        <f t="shared" si="0"/>
        <v>2.7548209366391185E-2</v>
      </c>
    </row>
    <row r="6" spans="1:13" x14ac:dyDescent="0.25">
      <c r="A6">
        <v>1398.97</v>
      </c>
      <c r="B6">
        <v>0.01</v>
      </c>
      <c r="C6">
        <v>0.15</v>
      </c>
      <c r="M6">
        <f t="shared" si="0"/>
        <v>2.7548209366391185E-2</v>
      </c>
    </row>
    <row r="7" spans="1:13" x14ac:dyDescent="0.25">
      <c r="A7">
        <v>563.88</v>
      </c>
      <c r="B7">
        <v>0.4</v>
      </c>
      <c r="C7">
        <v>0.28999999999999998</v>
      </c>
      <c r="M7">
        <f t="shared" si="0"/>
        <v>1.1019283746556474</v>
      </c>
    </row>
    <row r="8" spans="1:13" x14ac:dyDescent="0.25">
      <c r="A8">
        <v>975.9</v>
      </c>
      <c r="B8">
        <v>0.39</v>
      </c>
      <c r="C8">
        <v>0.28000000000000003</v>
      </c>
      <c r="M8">
        <f t="shared" si="0"/>
        <v>1.0743801652892562</v>
      </c>
    </row>
    <row r="9" spans="1:13" x14ac:dyDescent="0.25">
      <c r="A9">
        <v>884.17</v>
      </c>
      <c r="B9">
        <v>0.53</v>
      </c>
      <c r="C9">
        <v>0.32</v>
      </c>
      <c r="M9">
        <f t="shared" si="0"/>
        <v>1.4600550964187329</v>
      </c>
    </row>
    <row r="10" spans="1:13" x14ac:dyDescent="0.25">
      <c r="A10">
        <v>861.32</v>
      </c>
      <c r="B10">
        <v>0.04</v>
      </c>
      <c r="C10">
        <v>0.2</v>
      </c>
      <c r="M10">
        <f t="shared" si="0"/>
        <v>0.11019283746556474</v>
      </c>
    </row>
    <row r="11" spans="1:13" x14ac:dyDescent="0.25">
      <c r="A11">
        <v>362.79</v>
      </c>
      <c r="B11">
        <v>0.02</v>
      </c>
      <c r="C11">
        <v>0.14000000000000001</v>
      </c>
      <c r="M11">
        <f t="shared" si="0"/>
        <v>5.5096418732782371E-2</v>
      </c>
    </row>
    <row r="12" spans="1:13" x14ac:dyDescent="0.25">
      <c r="A12">
        <v>1011.77</v>
      </c>
      <c r="B12">
        <v>0.57999999999999996</v>
      </c>
      <c r="C12">
        <v>0.34</v>
      </c>
      <c r="M12">
        <f t="shared" si="0"/>
        <v>1.5977961432506886</v>
      </c>
    </row>
    <row r="13" spans="1:13" x14ac:dyDescent="0.25">
      <c r="A13">
        <v>1437.94</v>
      </c>
      <c r="B13">
        <v>0.87</v>
      </c>
      <c r="C13">
        <v>0.45</v>
      </c>
      <c r="M13">
        <f t="shared" si="0"/>
        <v>2.3966942148760331</v>
      </c>
    </row>
    <row r="14" spans="1:13" x14ac:dyDescent="0.25">
      <c r="A14">
        <v>646.79999999999995</v>
      </c>
      <c r="B14">
        <v>0.13</v>
      </c>
      <c r="C14">
        <v>0.19</v>
      </c>
      <c r="M14">
        <f t="shared" si="0"/>
        <v>0.35812672176308541</v>
      </c>
    </row>
    <row r="15" spans="1:13" x14ac:dyDescent="0.25">
      <c r="A15">
        <v>688.33</v>
      </c>
      <c r="B15">
        <v>0.47</v>
      </c>
      <c r="C15">
        <v>0.3</v>
      </c>
      <c r="M15">
        <f t="shared" si="0"/>
        <v>1.2947658402203857</v>
      </c>
    </row>
    <row r="16" spans="1:13" x14ac:dyDescent="0.25">
      <c r="A16">
        <v>690.43</v>
      </c>
      <c r="B16">
        <v>0.52</v>
      </c>
      <c r="C16">
        <v>0.34</v>
      </c>
      <c r="M16">
        <f t="shared" si="0"/>
        <v>1.4325068870523416</v>
      </c>
    </row>
    <row r="17" spans="1:13" x14ac:dyDescent="0.25">
      <c r="A17">
        <v>1103.3900000000001</v>
      </c>
      <c r="B17">
        <v>0.65</v>
      </c>
      <c r="C17">
        <v>0.36</v>
      </c>
      <c r="M17">
        <f t="shared" si="0"/>
        <v>1.7906336088154271</v>
      </c>
    </row>
    <row r="18" spans="1:13" x14ac:dyDescent="0.25">
      <c r="A18">
        <v>785.42</v>
      </c>
      <c r="B18">
        <v>0.01</v>
      </c>
      <c r="C18">
        <v>0.13</v>
      </c>
      <c r="M18">
        <f t="shared" si="0"/>
        <v>2.7548209366391185E-2</v>
      </c>
    </row>
    <row r="19" spans="1:13" x14ac:dyDescent="0.25">
      <c r="A19">
        <v>600.38</v>
      </c>
      <c r="B19">
        <v>0.51</v>
      </c>
      <c r="C19">
        <v>0.33</v>
      </c>
      <c r="M19">
        <f t="shared" si="0"/>
        <v>1.4049586776859504</v>
      </c>
    </row>
    <row r="20" spans="1:13" x14ac:dyDescent="0.25">
      <c r="A20">
        <v>1089.8399999999999</v>
      </c>
      <c r="B20">
        <v>0</v>
      </c>
      <c r="C20">
        <v>0.14000000000000001</v>
      </c>
      <c r="M20">
        <f t="shared" si="0"/>
        <v>0</v>
      </c>
    </row>
    <row r="21" spans="1:13" x14ac:dyDescent="0.25">
      <c r="A21">
        <v>1079.18</v>
      </c>
      <c r="B21">
        <v>0.47</v>
      </c>
      <c r="C21">
        <v>0.33</v>
      </c>
      <c r="M21">
        <f t="shared" si="0"/>
        <v>1.2947658402203857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22"/>
  <dimension ref="A1:M21"/>
  <sheetViews>
    <sheetView workbookViewId="0">
      <selection activeCell="M21" sqref="M21"/>
    </sheetView>
  </sheetViews>
  <sheetFormatPr defaultRowHeight="14.4" x14ac:dyDescent="0.3"/>
  <cols>
    <col min="6" max="6" width="9.5546875" bestFit="1" customWidth="1"/>
  </cols>
  <sheetData>
    <row r="1" spans="1:13" x14ac:dyDescent="0.25">
      <c r="A1" t="s">
        <v>0</v>
      </c>
      <c r="B1" t="s">
        <v>1</v>
      </c>
      <c r="C1" t="s">
        <v>2</v>
      </c>
      <c r="F1" t="s">
        <v>31</v>
      </c>
    </row>
    <row r="2" spans="1:13" x14ac:dyDescent="0.25">
      <c r="A2">
        <v>0.52</v>
      </c>
      <c r="B2">
        <v>0.05</v>
      </c>
      <c r="C2">
        <v>0.16</v>
      </c>
      <c r="F2" s="3">
        <f>_xlfn.T.TEST(B2:B21,control!B2:B21,1,3)</f>
        <v>3.0353724272152038E-7</v>
      </c>
      <c r="M2">
        <f t="shared" ref="M2:M21" si="0">B2/0.363</f>
        <v>0.13774104683195593</v>
      </c>
    </row>
    <row r="3" spans="1:13" x14ac:dyDescent="0.25">
      <c r="A3">
        <v>0.01</v>
      </c>
      <c r="B3">
        <v>0.04</v>
      </c>
      <c r="C3">
        <v>0.16</v>
      </c>
      <c r="M3">
        <f t="shared" si="0"/>
        <v>0.11019283746556474</v>
      </c>
    </row>
    <row r="4" spans="1:13" x14ac:dyDescent="0.25">
      <c r="A4">
        <v>0.22</v>
      </c>
      <c r="B4">
        <v>0.03</v>
      </c>
      <c r="C4">
        <v>0.16</v>
      </c>
      <c r="M4">
        <f t="shared" si="0"/>
        <v>8.2644628099173556E-2</v>
      </c>
    </row>
    <row r="5" spans="1:13" x14ac:dyDescent="0.25">
      <c r="A5">
        <v>0.01</v>
      </c>
      <c r="B5">
        <v>0.05</v>
      </c>
      <c r="C5">
        <v>0.16</v>
      </c>
      <c r="M5">
        <f t="shared" si="0"/>
        <v>0.13774104683195593</v>
      </c>
    </row>
    <row r="6" spans="1:13" x14ac:dyDescent="0.25">
      <c r="A6">
        <v>0.01</v>
      </c>
      <c r="B6">
        <v>0.04</v>
      </c>
      <c r="C6">
        <v>0.16</v>
      </c>
      <c r="M6">
        <f t="shared" si="0"/>
        <v>0.11019283746556474</v>
      </c>
    </row>
    <row r="7" spans="1:13" x14ac:dyDescent="0.25">
      <c r="A7">
        <v>0.24</v>
      </c>
      <c r="B7">
        <v>0.06</v>
      </c>
      <c r="C7">
        <v>0.17</v>
      </c>
      <c r="M7">
        <f t="shared" si="0"/>
        <v>0.16528925619834711</v>
      </c>
    </row>
    <row r="8" spans="1:13" x14ac:dyDescent="0.25">
      <c r="A8">
        <v>0.03</v>
      </c>
      <c r="B8">
        <v>0.03</v>
      </c>
      <c r="C8">
        <v>0.16</v>
      </c>
      <c r="M8">
        <f t="shared" si="0"/>
        <v>8.2644628099173556E-2</v>
      </c>
    </row>
    <row r="9" spans="1:13" x14ac:dyDescent="0.25">
      <c r="A9">
        <v>0.23</v>
      </c>
      <c r="B9">
        <v>0.05</v>
      </c>
      <c r="C9">
        <v>0.17</v>
      </c>
      <c r="M9">
        <f t="shared" si="0"/>
        <v>0.13774104683195593</v>
      </c>
    </row>
    <row r="10" spans="1:13" x14ac:dyDescent="0.25">
      <c r="A10">
        <v>0.01</v>
      </c>
      <c r="B10">
        <v>0.04</v>
      </c>
      <c r="C10">
        <v>0.16</v>
      </c>
      <c r="M10">
        <f t="shared" si="0"/>
        <v>0.11019283746556474</v>
      </c>
    </row>
    <row r="11" spans="1:13" x14ac:dyDescent="0.25">
      <c r="A11">
        <v>0.13</v>
      </c>
      <c r="B11">
        <v>0.05</v>
      </c>
      <c r="C11">
        <v>0.16</v>
      </c>
      <c r="M11">
        <f t="shared" si="0"/>
        <v>0.13774104683195593</v>
      </c>
    </row>
    <row r="12" spans="1:13" x14ac:dyDescent="0.25">
      <c r="A12">
        <v>0.34</v>
      </c>
      <c r="B12">
        <v>0.05</v>
      </c>
      <c r="C12">
        <v>0.17</v>
      </c>
      <c r="M12">
        <f t="shared" si="0"/>
        <v>0.13774104683195593</v>
      </c>
    </row>
    <row r="13" spans="1:13" x14ac:dyDescent="0.25">
      <c r="A13">
        <v>0.22</v>
      </c>
      <c r="B13">
        <v>0.05</v>
      </c>
      <c r="C13">
        <v>0.17</v>
      </c>
      <c r="M13">
        <f t="shared" si="0"/>
        <v>0.13774104683195593</v>
      </c>
    </row>
    <row r="14" spans="1:13" x14ac:dyDescent="0.25">
      <c r="A14">
        <v>0.21</v>
      </c>
      <c r="B14">
        <v>0.06</v>
      </c>
      <c r="C14">
        <v>0.17</v>
      </c>
      <c r="M14">
        <f t="shared" si="0"/>
        <v>0.16528925619834711</v>
      </c>
    </row>
    <row r="15" spans="1:13" x14ac:dyDescent="0.25">
      <c r="A15">
        <v>0.02</v>
      </c>
      <c r="B15">
        <v>0.03</v>
      </c>
      <c r="C15">
        <v>0.16</v>
      </c>
      <c r="M15">
        <f t="shared" si="0"/>
        <v>8.2644628099173556E-2</v>
      </c>
    </row>
    <row r="16" spans="1:13" x14ac:dyDescent="0.25">
      <c r="A16">
        <v>0.21</v>
      </c>
      <c r="B16">
        <v>0.05</v>
      </c>
      <c r="C16">
        <v>0.17</v>
      </c>
      <c r="M16">
        <f t="shared" si="0"/>
        <v>0.13774104683195593</v>
      </c>
    </row>
    <row r="17" spans="1:13" x14ac:dyDescent="0.25">
      <c r="A17">
        <v>0.23</v>
      </c>
      <c r="B17">
        <v>0.05</v>
      </c>
      <c r="C17">
        <v>0.16</v>
      </c>
      <c r="M17">
        <f t="shared" si="0"/>
        <v>0.13774104683195593</v>
      </c>
    </row>
    <row r="18" spans="1:13" x14ac:dyDescent="0.25">
      <c r="A18">
        <v>0.02</v>
      </c>
      <c r="B18">
        <v>0.06</v>
      </c>
      <c r="C18">
        <v>0.17</v>
      </c>
      <c r="M18">
        <f t="shared" si="0"/>
        <v>0.16528925619834711</v>
      </c>
    </row>
    <row r="19" spans="1:13" x14ac:dyDescent="0.25">
      <c r="A19">
        <v>0.31</v>
      </c>
      <c r="B19">
        <v>0.03</v>
      </c>
      <c r="C19">
        <v>0.15</v>
      </c>
      <c r="M19">
        <f t="shared" si="0"/>
        <v>8.2644628099173556E-2</v>
      </c>
    </row>
    <row r="20" spans="1:13" x14ac:dyDescent="0.25">
      <c r="A20">
        <v>0.22</v>
      </c>
      <c r="B20">
        <v>0.05</v>
      </c>
      <c r="C20">
        <v>0.16</v>
      </c>
      <c r="M20">
        <f t="shared" si="0"/>
        <v>0.13774104683195593</v>
      </c>
    </row>
    <row r="21" spans="1:13" x14ac:dyDescent="0.25">
      <c r="A21">
        <v>0.01</v>
      </c>
      <c r="B21">
        <v>0.06</v>
      </c>
      <c r="C21">
        <v>0.17</v>
      </c>
      <c r="M21">
        <f t="shared" si="0"/>
        <v>0.16528925619834711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Regneark</vt:lpstr>
      </vt:variant>
      <vt:variant>
        <vt:i4>27</vt:i4>
      </vt:variant>
    </vt:vector>
  </HeadingPairs>
  <TitlesOfParts>
    <vt:vector size="27" baseType="lpstr">
      <vt:lpstr>Table</vt:lpstr>
      <vt:lpstr>T-Tests</vt:lpstr>
      <vt:lpstr>control</vt:lpstr>
      <vt:lpstr>low-iteration</vt:lpstr>
      <vt:lpstr>prio-sweep</vt:lpstr>
      <vt:lpstr>low-iteration-prio-sweep</vt:lpstr>
      <vt:lpstr>human-ass</vt:lpstr>
      <vt:lpstr>human-ass-low-iteration</vt:lpstr>
      <vt:lpstr>grid-state</vt:lpstr>
      <vt:lpstr>large-grid-state</vt:lpstr>
      <vt:lpstr>small-grid-state</vt:lpstr>
      <vt:lpstr>small-grid-vector-state</vt:lpstr>
      <vt:lpstr>grid-vector-binned-state</vt:lpstr>
      <vt:lpstr>vector-state</vt:lpstr>
      <vt:lpstr>vector-binned-state</vt:lpstr>
      <vt:lpstr>predefined-seeker</vt:lpstr>
      <vt:lpstr>predefined-seeker-random-goal</vt:lpstr>
      <vt:lpstr>random-seeker-random-goal</vt:lpstr>
      <vt:lpstr>high-iteration</vt:lpstr>
      <vt:lpstr>very-high-iteration</vt:lpstr>
      <vt:lpstr>very-high-iteration-full-batch</vt:lpstr>
      <vt:lpstr>small-batchsize</vt:lpstr>
      <vt:lpstr>small-batchsize-small-poolsize</vt:lpstr>
      <vt:lpstr>large-poolsize</vt:lpstr>
      <vt:lpstr>large-batchsize-large-poolsize</vt:lpstr>
      <vt:lpstr>low-stride</vt:lpstr>
      <vt:lpstr>random-baseline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Nikolaj Falsted</dc:creator>
  <cp:lastModifiedBy>Nikolaj Falsted</cp:lastModifiedBy>
  <dcterms:created xsi:type="dcterms:W3CDTF">2015-08-06T07:14:17Z</dcterms:created>
  <dcterms:modified xsi:type="dcterms:W3CDTF">2015-08-26T11:52:17Z</dcterms:modified>
</cp:coreProperties>
</file>