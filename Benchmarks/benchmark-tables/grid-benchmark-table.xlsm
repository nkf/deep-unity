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Denne_projektmappe" defaultThemeVersion="124226"/>
  <bookViews>
    <workbookView xWindow="0" yWindow="48" windowWidth="22980" windowHeight="9552" tabRatio="1000"/>
  </bookViews>
  <sheets>
    <sheet name="Table" sheetId="2" r:id="rId1"/>
    <sheet name="control" sheetId="1" r:id="rId2"/>
    <sheet name="low-iteration" sheetId="14" r:id="rId3"/>
    <sheet name="prio-sweep" sheetId="19" r:id="rId4"/>
    <sheet name="low-iteration-prio-sweep" sheetId="15" r:id="rId5"/>
    <sheet name="human-ass" sheetId="6" r:id="rId6"/>
    <sheet name="human-ass-low-iteration" sheetId="11" r:id="rId7"/>
    <sheet name="grid-state" sheetId="3" r:id="rId8"/>
    <sheet name="large-grid-state" sheetId="13" r:id="rId9"/>
    <sheet name="small-grid-state" sheetId="9" r:id="rId10"/>
    <sheet name="small-grid-vector-state" sheetId="23" r:id="rId11"/>
    <sheet name="grid-vector-binned-state" sheetId="4" r:id="rId12"/>
    <sheet name="vector-state" sheetId="7" r:id="rId13"/>
    <sheet name="vector-binned-state" sheetId="8" r:id="rId14"/>
    <sheet name="predefined-seeker" sheetId="17" r:id="rId15"/>
    <sheet name="predefined-seeker-random-goal" sheetId="18" r:id="rId16"/>
    <sheet name="random-seeker-random-goal" sheetId="12" r:id="rId17"/>
    <sheet name="high-iteration" sheetId="5" r:id="rId18"/>
    <sheet name="very-high-iteration" sheetId="21" r:id="rId19"/>
    <sheet name="very-high-iteration-full-batch" sheetId="24" r:id="rId20"/>
    <sheet name="small-batchsize" sheetId="20" r:id="rId21"/>
    <sheet name="small-batchsize-small-poolsize" sheetId="10" r:id="rId22"/>
    <sheet name="large-poolsize" sheetId="25" r:id="rId23"/>
    <sheet name="large-batchsize-large-poolsize" sheetId="26" r:id="rId24"/>
    <sheet name="low-stride" sheetId="16" r:id="rId25"/>
    <sheet name="random-baseline" sheetId="22" r:id="rId26"/>
  </sheets>
  <calcPr calcId="145621"/>
</workbook>
</file>

<file path=xl/calcChain.xml><?xml version="1.0" encoding="utf-8"?>
<calcChain xmlns="http://schemas.openxmlformats.org/spreadsheetml/2006/main">
  <c r="J26" i="2" l="1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G2" i="4" l="1"/>
  <c r="F2" i="22"/>
  <c r="F2" i="4"/>
  <c r="F2" i="1"/>
  <c r="F2" i="5"/>
  <c r="F2" i="19"/>
  <c r="G2" i="10"/>
  <c r="F2" i="10"/>
  <c r="F2" i="20"/>
  <c r="G2" i="21"/>
  <c r="F2" i="21"/>
  <c r="F2" i="11"/>
  <c r="F2" i="6"/>
</calcChain>
</file>

<file path=xl/sharedStrings.xml><?xml version="1.0" encoding="utf-8"?>
<sst xmlns="http://schemas.openxmlformats.org/spreadsheetml/2006/main" count="120" uniqueCount="40">
  <si>
    <t>Runtime</t>
  </si>
  <si>
    <t>Accuracy</t>
  </si>
  <si>
    <t>Avg. Distance Score</t>
  </si>
  <si>
    <t>control</t>
  </si>
  <si>
    <t>grid-state</t>
  </si>
  <si>
    <t>grid-vector-binned-state</t>
  </si>
  <si>
    <t>high-iteration</t>
  </si>
  <si>
    <t>human-ass</t>
  </si>
  <si>
    <t>vector-state</t>
  </si>
  <si>
    <t>vector-binned-state</t>
  </si>
  <si>
    <t>small-grid-state</t>
  </si>
  <si>
    <t>small-batchsize-small-poolsize</t>
  </si>
  <si>
    <t>human-ass-low-iteration</t>
  </si>
  <si>
    <t>random-seeker-random-goal</t>
  </si>
  <si>
    <t>large-grid-state</t>
  </si>
  <si>
    <t>low-iteration</t>
  </si>
  <si>
    <t>low-iteration-prio-sweep</t>
  </si>
  <si>
    <t>low-stride</t>
  </si>
  <si>
    <t>predefined-seeker</t>
  </si>
  <si>
    <t>predefined-seeker-random-goal</t>
  </si>
  <si>
    <t>prio-sweep</t>
  </si>
  <si>
    <t>small-batchsize</t>
  </si>
  <si>
    <t>very-high-iteration</t>
  </si>
  <si>
    <t>Median</t>
  </si>
  <si>
    <t>Avg</t>
  </si>
  <si>
    <t>T-Test vs Control</t>
  </si>
  <si>
    <t>Stddev</t>
  </si>
  <si>
    <t>%</t>
  </si>
  <si>
    <t>T-Test vs low iteration</t>
  </si>
  <si>
    <t>T-test vs smallbatchsize</t>
  </si>
  <si>
    <t>t-test vs control</t>
  </si>
  <si>
    <t>vs control</t>
  </si>
  <si>
    <t>vs smallbatch</t>
  </si>
  <si>
    <t>vs spatial (grid-state)</t>
  </si>
  <si>
    <t>random-baseline</t>
  </si>
  <si>
    <t>vs grid-state</t>
  </si>
  <si>
    <t>small-grid-vector-state</t>
  </si>
  <si>
    <t>very-high-iteration-full-batch</t>
  </si>
  <si>
    <t>large-poolsize</t>
  </si>
  <si>
    <t>large-batchsize-large-poolsize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</si>
</sst>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"/>
    <numFmt numFmtId="166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K26"/>
  <sheetViews>
    <sheetView tabSelected="1" workbookViewId="0">
      <selection activeCell="I7" sqref="I7"/>
    </sheetView>
  </sheetViews>
  <sheetFormatPr defaultRowHeight="14.4" x14ac:dyDescent="0.3"/>
  <cols>
    <col min="1" max="1" width="27.33203125" bestFit="1" customWidth="1"/>
    <col min="2" max="2" width="12.21875" bestFit="1" customWidth="1"/>
    <col min="3" max="3" width="8.33203125" bestFit="1" customWidth="1"/>
    <col min="4" max="4" width="17" bestFit="1" customWidth="1"/>
    <col min="6" max="6" width="12.21875" bestFit="1" customWidth="1"/>
    <col min="8" max="8" width="12.21875" bestFit="1" customWidth="1"/>
    <col min="11" max="11" width="12.21875" bestFit="1" customWidth="1"/>
  </cols>
  <sheetData>
    <row r="1" spans="1:11" x14ac:dyDescent="0.3">
      <c r="B1" t="s">
        <v>0</v>
      </c>
      <c r="C1" t="s">
        <v>1</v>
      </c>
      <c r="D1" t="s">
        <v>2</v>
      </c>
      <c r="F1" t="s">
        <v>24</v>
      </c>
      <c r="G1" t="s">
        <v>23</v>
      </c>
      <c r="H1" t="s">
        <v>26</v>
      </c>
      <c r="I1" t="s">
        <v>27</v>
      </c>
    </row>
    <row r="2" spans="1:11" x14ac:dyDescent="0.3">
      <c r="A2" t="s">
        <v>3</v>
      </c>
      <c r="B2">
        <f>AVERAGE(control!A2:A21)</f>
        <v>298.33399999999995</v>
      </c>
      <c r="C2">
        <f>AVERAGE(control!B2:B21)</f>
        <v>0.36299999999999999</v>
      </c>
      <c r="D2">
        <f>AVERAGE(control!C2:C21)</f>
        <v>0.27299999999999996</v>
      </c>
      <c r="F2" s="1">
        <f>C2</f>
        <v>0.36299999999999999</v>
      </c>
      <c r="G2" s="1">
        <f>MEDIAN(control!B2:B21)</f>
        <v>0.36</v>
      </c>
      <c r="H2" s="1">
        <f>_xlfn.STDEV.S(control!B2:B21)</f>
        <v>0.19347514460247173</v>
      </c>
      <c r="I2" s="4">
        <f>(G2-G2)/ABS(G2)%</f>
        <v>0</v>
      </c>
      <c r="J2" s="1">
        <f>_xlfn.T.TEST(control!B2:B21,control!B2:B21,1,3)</f>
        <v>0.5</v>
      </c>
      <c r="K2" s="4"/>
    </row>
    <row r="3" spans="1:11" x14ac:dyDescent="0.3">
      <c r="A3" t="s">
        <v>15</v>
      </c>
      <c r="B3">
        <f>AVERAGE('low-iteration'!A2:A21)</f>
        <v>36.854500000000009</v>
      </c>
      <c r="C3">
        <f>AVERAGE('low-iteration'!B2:B21)</f>
        <v>0.16049999999999998</v>
      </c>
      <c r="D3">
        <f>AVERAGE('low-iteration'!C2:C21)</f>
        <v>0.20200000000000001</v>
      </c>
      <c r="F3" s="1">
        <f t="shared" ref="F3:F26" si="0">C3</f>
        <v>0.16049999999999998</v>
      </c>
      <c r="G3" s="1">
        <f>MEDIAN('low-iteration'!B2:B21)</f>
        <v>0.14499999999999999</v>
      </c>
      <c r="H3" s="1">
        <f>_xlfn.STDEV.S('low-iteration'!B2:B21)</f>
        <v>0.14961265778142258</v>
      </c>
      <c r="I3" s="4">
        <f>(G3-G2)/ABS(G2)%</f>
        <v>-59.722222222222221</v>
      </c>
      <c r="J3" s="1">
        <f>_xlfn.T.TEST('low-iteration'!B2:B21,control!B2:B21,1,3)</f>
        <v>3.5784730207366448E-4</v>
      </c>
    </row>
    <row r="4" spans="1:11" x14ac:dyDescent="0.3">
      <c r="A4" t="s">
        <v>20</v>
      </c>
      <c r="B4">
        <f>AVERAGE('prio-sweep'!A2:A21)</f>
        <v>67.02849999999998</v>
      </c>
      <c r="C4">
        <f>AVERAGE('prio-sweep'!B2:B21)</f>
        <v>1.5000000000000003E-2</v>
      </c>
      <c r="D4">
        <f>AVERAGE('prio-sweep'!C2:C21)</f>
        <v>0.14100000000000004</v>
      </c>
      <c r="F4" s="1">
        <f t="shared" si="0"/>
        <v>1.5000000000000003E-2</v>
      </c>
      <c r="G4" s="1">
        <f>MEDIAN('prio-sweep'!B2:B21)</f>
        <v>0.01</v>
      </c>
      <c r="H4" s="1">
        <f>_xlfn.STDEV.S('prio-sweep'!B2:B21)</f>
        <v>2.0390916450326851E-2</v>
      </c>
      <c r="I4" s="4">
        <f>(G4-G2)/ABS(G2)%</f>
        <v>-97.222222222222214</v>
      </c>
      <c r="J4" s="1">
        <f>_xlfn.T.TEST('prio-sweep'!B2:B21,control!B2:B21,1,3)</f>
        <v>7.1798488814735596E-8</v>
      </c>
    </row>
    <row r="5" spans="1:11" x14ac:dyDescent="0.3">
      <c r="A5" t="s">
        <v>16</v>
      </c>
      <c r="B5">
        <f>AVERAGE('low-iteration-prio-sweep'!A2:A21)</f>
        <v>13.335000000000003</v>
      </c>
      <c r="C5">
        <f>AVERAGE('low-iteration-prio-sweep'!B2:B21)</f>
        <v>1.3000000000000003E-2</v>
      </c>
      <c r="D5">
        <f>AVERAGE('low-iteration-prio-sweep'!C2:C21)</f>
        <v>0.13999999999999996</v>
      </c>
      <c r="F5" s="1">
        <f t="shared" si="0"/>
        <v>1.3000000000000003E-2</v>
      </c>
      <c r="G5" s="1">
        <f>MEDIAN('low-iteration-prio-sweep'!B2:B21)</f>
        <v>0.01</v>
      </c>
      <c r="H5" s="1">
        <f>_xlfn.STDEV.S('low-iteration-prio-sweep'!B2:B21)</f>
        <v>1.2182817926554549E-2</v>
      </c>
      <c r="I5" s="4">
        <f>(G5-G2)/ABS(G2)%</f>
        <v>-97.222222222222214</v>
      </c>
      <c r="J5" s="1">
        <f>_xlfn.T.TEST('low-iteration-prio-sweep'!B2:B21,control!B2:B21,1,3)</f>
        <v>6.9023222933281938E-8</v>
      </c>
    </row>
    <row r="6" spans="1:11" x14ac:dyDescent="0.3">
      <c r="A6" t="s">
        <v>7</v>
      </c>
      <c r="B6">
        <f>AVERAGE('human-ass'!A2:A21)</f>
        <v>332.69650000000001</v>
      </c>
      <c r="C6">
        <f>AVERAGE('human-ass'!B2:B21)</f>
        <v>0.54449999999999998</v>
      </c>
      <c r="D6">
        <f>AVERAGE('human-ass'!C2:C21)</f>
        <v>0.33050000000000007</v>
      </c>
      <c r="F6" s="1">
        <f t="shared" si="0"/>
        <v>0.54449999999999998</v>
      </c>
      <c r="G6" s="1">
        <f>MEDIAN('human-ass'!B2:B21)</f>
        <v>0.54500000000000004</v>
      </c>
      <c r="H6" s="1">
        <f>_xlfn.STDEV.S('human-ass'!B2:B21)</f>
        <v>0.23455388787182677</v>
      </c>
      <c r="I6" s="4">
        <f>(G6-G2)/ABS(G2)%</f>
        <v>51.388888888888907</v>
      </c>
      <c r="J6" s="1">
        <f>_xlfn.T.TEST('human-ass'!B2:B21,control!B2:B21,1,3)</f>
        <v>5.6239940281825112E-3</v>
      </c>
    </row>
    <row r="7" spans="1:11" x14ac:dyDescent="0.3">
      <c r="A7" t="s">
        <v>12</v>
      </c>
      <c r="B7">
        <f>AVERAGE('human-ass-low-iteration'!A2:A21)</f>
        <v>31.657</v>
      </c>
      <c r="C7">
        <f>AVERAGE('human-ass-low-iteration'!B2:B21)</f>
        <v>0.127</v>
      </c>
      <c r="D7">
        <f>AVERAGE('human-ass-low-iteration'!C2:C21)</f>
        <v>0.193</v>
      </c>
      <c r="F7" s="1">
        <f t="shared" si="0"/>
        <v>0.127</v>
      </c>
      <c r="G7" s="1">
        <f>MEDIAN('human-ass-low-iteration'!B2:B21)</f>
        <v>9.5000000000000001E-2</v>
      </c>
      <c r="H7" s="1">
        <f>_xlfn.STDEV.S('human-ass-low-iteration'!B2:B21)</f>
        <v>9.3420385468336822E-2</v>
      </c>
      <c r="I7" s="4">
        <f>(G7-G2)/ABS(G2)%</f>
        <v>-73.611111111111114</v>
      </c>
      <c r="J7" s="1">
        <f>_xlfn.T.TEST('human-ass-low-iteration'!B2:B21,control!B2:B21,1,3)</f>
        <v>1.8577372731920966E-5</v>
      </c>
    </row>
    <row r="8" spans="1:11" x14ac:dyDescent="0.3">
      <c r="A8" t="s">
        <v>4</v>
      </c>
      <c r="B8">
        <f>AVERAGE('grid-state'!A2:A21)</f>
        <v>268.392</v>
      </c>
      <c r="C8">
        <f>AVERAGE('grid-state'!B2:B21)</f>
        <v>0.14900000000000002</v>
      </c>
      <c r="D8">
        <f>AVERAGE('grid-state'!C2:C21)</f>
        <v>0.188</v>
      </c>
      <c r="F8" s="1">
        <f t="shared" si="0"/>
        <v>0.14900000000000002</v>
      </c>
      <c r="G8" s="1">
        <f>MEDIAN('grid-state'!B2:B21)</f>
        <v>0.10500000000000001</v>
      </c>
      <c r="H8" s="1">
        <f>_xlfn.STDEV.S('grid-state'!B2:B21)</f>
        <v>0.14878101180488118</v>
      </c>
      <c r="I8" s="4">
        <f>(G8-G2)/ABS(G2)%</f>
        <v>-70.833333333333343</v>
      </c>
      <c r="J8" s="1">
        <f>_xlfn.T.TEST('grid-state'!B2:B21,control!B2:B21,1,3)</f>
        <v>1.9175933059904118E-4</v>
      </c>
    </row>
    <row r="9" spans="1:11" x14ac:dyDescent="0.3">
      <c r="A9" t="s">
        <v>14</v>
      </c>
      <c r="B9">
        <f>AVERAGE('large-grid-state'!A2:A21)</f>
        <v>403.76400000000001</v>
      </c>
      <c r="C9">
        <f>AVERAGE('large-grid-state'!B2:B21)</f>
        <v>0.15799999999999995</v>
      </c>
      <c r="D9">
        <f>AVERAGE('large-grid-state'!C2:C21)</f>
        <v>0.19199999999999998</v>
      </c>
      <c r="F9" s="1">
        <f t="shared" si="0"/>
        <v>0.15799999999999995</v>
      </c>
      <c r="G9" s="1">
        <f>MEDIAN('large-grid-state'!B2:B21)</f>
        <v>0.02</v>
      </c>
      <c r="H9" s="1">
        <f>_xlfn.STDEV.S('large-grid-state'!B2:B21)</f>
        <v>0.24108526554552834</v>
      </c>
      <c r="I9" s="4">
        <f>(G9-G2)/ABS(G2)%</f>
        <v>-94.444444444444443</v>
      </c>
      <c r="J9" s="1">
        <f>_xlfn.T.TEST('large-grid-state'!B2:B21,control!B2:B21,1,3)</f>
        <v>2.6554441228051773E-3</v>
      </c>
    </row>
    <row r="10" spans="1:11" x14ac:dyDescent="0.3">
      <c r="A10" t="s">
        <v>10</v>
      </c>
      <c r="B10">
        <f>AVERAGE('small-grid-state'!A2:A21)</f>
        <v>186.46200000000002</v>
      </c>
      <c r="C10">
        <f>AVERAGE('small-grid-state'!B2:B21)</f>
        <v>0.11700000000000002</v>
      </c>
      <c r="D10">
        <f>AVERAGE('small-grid-state'!C2:C21)</f>
        <v>0.17150000000000001</v>
      </c>
      <c r="F10" s="1">
        <f t="shared" si="0"/>
        <v>0.11700000000000002</v>
      </c>
      <c r="G10" s="1">
        <f>MEDIAN('small-grid-state'!B2:B21)</f>
        <v>0.11499999999999999</v>
      </c>
      <c r="H10" s="1">
        <f>_xlfn.STDEV.S('small-grid-state'!B2:B21)</f>
        <v>8.1182056612218625E-2</v>
      </c>
      <c r="I10" s="4">
        <f>(G10-G2)/ABS(G2)%</f>
        <v>-68.055555555555557</v>
      </c>
      <c r="J10" s="1">
        <f>_xlfn.T.TEST('small-grid-state'!B2:B21,control!B2:B21,1,3)</f>
        <v>9.3841821866610146E-6</v>
      </c>
    </row>
    <row r="11" spans="1:11" x14ac:dyDescent="0.3">
      <c r="A11" t="s">
        <v>36</v>
      </c>
      <c r="B11">
        <f>AVERAGE('small-grid-vector-state'!A2:A21)</f>
        <v>38.577000000000005</v>
      </c>
      <c r="C11">
        <f>AVERAGE('small-grid-vector-state'!B2:B21)</f>
        <v>0.17150000000000001</v>
      </c>
      <c r="D11">
        <f>AVERAGE('small-grid-vector-state'!C2:C21)</f>
        <v>0.20899999999999999</v>
      </c>
      <c r="F11" s="1">
        <f t="shared" si="0"/>
        <v>0.17150000000000001</v>
      </c>
      <c r="G11" s="1">
        <f>MEDIAN('small-grid-vector-state'!B2:B21)</f>
        <v>0.06</v>
      </c>
      <c r="H11" s="1">
        <f>_xlfn.STDEV.S('small-grid-vector-state'!B2:B21)</f>
        <v>0.18111569434160613</v>
      </c>
      <c r="I11" s="4">
        <f>(G11-G2)/ABS(G2)%</f>
        <v>-83.333333333333329</v>
      </c>
      <c r="J11" s="1">
        <f>_xlfn.T.TEST('small-grid-vector-state'!B2:B21,control!B2:B21,1,3)</f>
        <v>1.2758697461537078E-3</v>
      </c>
    </row>
    <row r="12" spans="1:11" x14ac:dyDescent="0.3">
      <c r="A12" t="s">
        <v>5</v>
      </c>
      <c r="B12">
        <f>AVERAGE('grid-vector-binned-state'!A2:A21)</f>
        <v>340.20899999999995</v>
      </c>
      <c r="C12">
        <f>AVERAGE('grid-vector-binned-state'!B2:B21)</f>
        <v>0.43800000000000006</v>
      </c>
      <c r="D12">
        <f>AVERAGE('grid-vector-binned-state'!C2:C21)</f>
        <v>0.28450000000000009</v>
      </c>
      <c r="F12" s="1">
        <f t="shared" si="0"/>
        <v>0.43800000000000006</v>
      </c>
      <c r="G12" s="1">
        <f>MEDIAN('grid-vector-binned-state'!B2:B21)</f>
        <v>0.48499999999999999</v>
      </c>
      <c r="H12" s="1">
        <f>_xlfn.STDEV.S('grid-vector-binned-state'!B2:B21)</f>
        <v>0.20877083885900996</v>
      </c>
      <c r="I12" s="4">
        <f>(G12-G2)/ABS(G2)%</f>
        <v>34.722222222222221</v>
      </c>
      <c r="J12" s="1">
        <f>_xlfn.T.TEST('grid-vector-binned-state'!B2:B21,control!B2:B21,1,3)</f>
        <v>0.12300664444858223</v>
      </c>
    </row>
    <row r="13" spans="1:11" x14ac:dyDescent="0.3">
      <c r="A13" t="s">
        <v>8</v>
      </c>
      <c r="B13">
        <f>AVERAGE('vector-state'!A2:A21)</f>
        <v>44.288000000000011</v>
      </c>
      <c r="C13">
        <f>AVERAGE('vector-state'!B2:B21)</f>
        <v>0.21799999999999997</v>
      </c>
      <c r="D13">
        <f>AVERAGE('vector-state'!C2:C21)</f>
        <v>0.24300000000000002</v>
      </c>
      <c r="F13" s="1">
        <f t="shared" si="0"/>
        <v>0.21799999999999997</v>
      </c>
      <c r="G13" s="1">
        <f>MEDIAN('vector-state'!B2:B21)</f>
        <v>0.16500000000000001</v>
      </c>
      <c r="H13" s="1">
        <f>_xlfn.STDEV.S('vector-state'!B2:B21)</f>
        <v>0.22906216117947226</v>
      </c>
      <c r="I13" s="4">
        <f>(G13-G2)/ABS(G2)%</f>
        <v>-54.166666666666664</v>
      </c>
      <c r="J13" s="1">
        <f>_xlfn.T.TEST('vector-state'!B2:B21,control!B2:B21,1,3)</f>
        <v>1.8551952234590743E-2</v>
      </c>
    </row>
    <row r="14" spans="1:11" x14ac:dyDescent="0.3">
      <c r="A14" t="s">
        <v>9</v>
      </c>
      <c r="B14">
        <f>AVERAGE('vector-binned-state'!A2:A21)</f>
        <v>39.625999999999991</v>
      </c>
      <c r="C14">
        <f>AVERAGE('vector-binned-state'!B2:B21)</f>
        <v>0.19049999999999997</v>
      </c>
      <c r="D14">
        <f>AVERAGE('vector-binned-state'!C2:C21)</f>
        <v>0.2185</v>
      </c>
      <c r="F14" s="1">
        <f t="shared" si="0"/>
        <v>0.19049999999999997</v>
      </c>
      <c r="G14" s="1">
        <f>MEDIAN('vector-binned-state'!B2:B21)</f>
        <v>0.20500000000000002</v>
      </c>
      <c r="H14" s="1">
        <f>_xlfn.STDEV.S('vector-binned-state'!B2:B21)</f>
        <v>0.10190165537625509</v>
      </c>
      <c r="I14" s="4">
        <f>(G14-G2)/ABS(G2)%</f>
        <v>-43.05555555555555</v>
      </c>
      <c r="J14" s="1">
        <f>_xlfn.T.TEST('vector-binned-state'!B2:B21,control!B2:B21,1,3)</f>
        <v>7.1334805966550988E-4</v>
      </c>
    </row>
    <row r="15" spans="1:11" x14ac:dyDescent="0.3">
      <c r="A15" t="s">
        <v>18</v>
      </c>
      <c r="B15">
        <f>AVERAGE('predefined-seeker'!A2:A21)</f>
        <v>83.100000000000009</v>
      </c>
      <c r="C15">
        <f>AVERAGE('predefined-seeker'!B2:B21)</f>
        <v>2.8000000000000004E-2</v>
      </c>
      <c r="D15">
        <f>AVERAGE('predefined-seeker'!C2:C21)</f>
        <v>0.14700000000000002</v>
      </c>
      <c r="F15" s="1">
        <f t="shared" si="0"/>
        <v>2.8000000000000004E-2</v>
      </c>
      <c r="G15" s="1">
        <f>MEDIAN('predefined-seeker'!B2:B21)</f>
        <v>0.01</v>
      </c>
      <c r="H15" s="1">
        <f>_xlfn.STDEV.S('predefined-seeker'!B2:B21)</f>
        <v>4.3480183023872784E-2</v>
      </c>
      <c r="I15" s="4">
        <f>(G15-G2)/ABS(G2)%</f>
        <v>-97.222222222222214</v>
      </c>
      <c r="J15" s="1">
        <f>_xlfn.T.TEST('predefined-seeker'!B2:B21,control!B2:B21,1,3)</f>
        <v>1.0451238596057833E-7</v>
      </c>
    </row>
    <row r="16" spans="1:11" x14ac:dyDescent="0.3">
      <c r="A16" t="s">
        <v>19</v>
      </c>
      <c r="B16">
        <f>AVERAGE('predefined-seeker-random-goal'!A2:A21)</f>
        <v>66.620999999999995</v>
      </c>
      <c r="C16">
        <f>AVERAGE('predefined-seeker-random-goal'!B2:B21)</f>
        <v>1.3000000000000003E-2</v>
      </c>
      <c r="D16">
        <f>AVERAGE('predefined-seeker-random-goal'!C2:C21)</f>
        <v>0.13199999999999998</v>
      </c>
      <c r="F16" s="1">
        <f t="shared" si="0"/>
        <v>1.3000000000000003E-2</v>
      </c>
      <c r="G16" s="1">
        <f>MEDIAN('predefined-seeker-random-goal'!B2:B21)</f>
        <v>0.01</v>
      </c>
      <c r="H16" s="1">
        <f>_xlfn.STDEV.S('predefined-seeker-random-goal'!B2:B21)</f>
        <v>1.625455401774498E-2</v>
      </c>
      <c r="I16" s="4">
        <f>(G16-G2)/ABS(G2)%</f>
        <v>-97.222222222222214</v>
      </c>
      <c r="J16" s="1">
        <f>_xlfn.T.TEST('predefined-seeker-random-goal'!B2:B21,control!B2:B21,1,3)</f>
        <v>6.760874028109956E-8</v>
      </c>
    </row>
    <row r="17" spans="1:10" x14ac:dyDescent="0.3">
      <c r="A17" t="s">
        <v>13</v>
      </c>
      <c r="B17">
        <f>AVERAGE('random-seeker-random-goal'!A2:A21)</f>
        <v>305.28800000000001</v>
      </c>
      <c r="C17">
        <f>AVERAGE('random-seeker-random-goal'!B2:B21)</f>
        <v>0.17899999999999999</v>
      </c>
      <c r="D17">
        <f>AVERAGE('random-seeker-random-goal'!C2:C21)</f>
        <v>0.20650000000000004</v>
      </c>
      <c r="F17" s="1">
        <f t="shared" si="0"/>
        <v>0.17899999999999999</v>
      </c>
      <c r="G17" s="1">
        <f>MEDIAN('random-seeker-random-goal'!B2:B21)</f>
        <v>0.16</v>
      </c>
      <c r="H17" s="1">
        <f>_xlfn.STDEV.S('random-seeker-random-goal'!B2:B21)</f>
        <v>0.11035349897870074</v>
      </c>
      <c r="I17" s="4">
        <f>(G17-G2)/ABS(G2)%</f>
        <v>-55.55555555555555</v>
      </c>
      <c r="J17" s="1">
        <f>_xlfn.T.TEST('random-seeker-random-goal'!B2:B21,control!B2:B21,1,3)</f>
        <v>4.3603506648305347E-4</v>
      </c>
    </row>
    <row r="18" spans="1:10" x14ac:dyDescent="0.3">
      <c r="A18" t="s">
        <v>6</v>
      </c>
      <c r="B18">
        <f>AVERAGE('high-iteration'!A2:A21)</f>
        <v>501.79899999999986</v>
      </c>
      <c r="C18">
        <f>AVERAGE('high-iteration'!B2:B21)</f>
        <v>0.57000000000000006</v>
      </c>
      <c r="D18">
        <f>AVERAGE('high-iteration'!C2:C21)</f>
        <v>0.34200000000000008</v>
      </c>
      <c r="F18" s="1">
        <f t="shared" si="0"/>
        <v>0.57000000000000006</v>
      </c>
      <c r="G18" s="1">
        <f>MEDIAN('high-iteration'!B2:B21)</f>
        <v>0.54500000000000004</v>
      </c>
      <c r="H18" s="1">
        <f>_xlfn.STDEV.S('high-iteration'!B2:B21)</f>
        <v>0.22116914222758149</v>
      </c>
      <c r="I18" s="4">
        <f>(G18-G2)/ABS(G2)%</f>
        <v>51.388888888888907</v>
      </c>
      <c r="J18" s="1">
        <f>_xlfn.T.TEST('high-iteration'!B2:B21,control!B2:B21,1,3)</f>
        <v>1.6031269778452901E-3</v>
      </c>
    </row>
    <row r="19" spans="1:10" x14ac:dyDescent="0.3">
      <c r="A19" t="s">
        <v>22</v>
      </c>
      <c r="B19">
        <f>AVERAGE('very-high-iteration'!A2:A21)</f>
        <v>406.03649999999999</v>
      </c>
      <c r="C19">
        <f>AVERAGE('very-high-iteration'!B2:B21)</f>
        <v>0.38350000000000001</v>
      </c>
      <c r="D19">
        <f>AVERAGE('very-high-iteration'!C2:C21)</f>
        <v>0.26949999999999996</v>
      </c>
      <c r="F19" s="1">
        <f t="shared" si="0"/>
        <v>0.38350000000000001</v>
      </c>
      <c r="G19" s="1">
        <f>MEDIAN('very-high-iteration'!B2:B21)</f>
        <v>0.375</v>
      </c>
      <c r="H19" s="1">
        <f>_xlfn.STDEV.S('very-high-iteration'!B2:B21)</f>
        <v>0.19339828007725954</v>
      </c>
      <c r="I19" s="4">
        <f>(G19-G2)/ABS(G2)%</f>
        <v>4.1666666666666705</v>
      </c>
      <c r="J19" s="1">
        <f>_xlfn.T.TEST('very-high-iteration'!B2:B21,control!B2:B21,1,3)</f>
        <v>0.3696845723793209</v>
      </c>
    </row>
    <row r="20" spans="1:10" x14ac:dyDescent="0.3">
      <c r="A20" t="s">
        <v>37</v>
      </c>
      <c r="B20">
        <f>AVERAGE('very-high-iteration-full-batch'!A2:A21)</f>
        <v>1065.9464999999998</v>
      </c>
      <c r="C20">
        <f>AVERAGE('very-high-iteration-full-batch'!B2:B21)</f>
        <v>0.36799999999999999</v>
      </c>
      <c r="D20">
        <f>AVERAGE('very-high-iteration-full-batch'!C2:C21)</f>
        <v>0.26350000000000001</v>
      </c>
      <c r="F20" s="1">
        <f t="shared" si="0"/>
        <v>0.36799999999999999</v>
      </c>
      <c r="G20" s="1">
        <f>MEDIAN('very-high-iteration-full-batch'!B2:B21)</f>
        <v>0.38500000000000001</v>
      </c>
      <c r="H20" s="1">
        <f>_xlfn.STDEV.S('very-high-iteration-full-batch'!B2:B21)</f>
        <v>0.13004452678743719</v>
      </c>
      <c r="I20" s="4">
        <f>(G20-G2)/ABS(G2)%</f>
        <v>6.9444444444444509</v>
      </c>
      <c r="J20" s="1">
        <f>_xlfn.T.TEST('very-high-iteration-full-batch'!B2:B21,control!B2:B21,1,3)</f>
        <v>0.46207995810270525</v>
      </c>
    </row>
    <row r="21" spans="1:10" x14ac:dyDescent="0.3">
      <c r="A21" t="s">
        <v>21</v>
      </c>
      <c r="B21">
        <f>AVERAGE('small-batchsize'!A2:A21)</f>
        <v>80.69550000000001</v>
      </c>
      <c r="C21">
        <f>AVERAGE('small-batchsize'!B2:B21)</f>
        <v>0.17050000000000001</v>
      </c>
      <c r="D21">
        <f>AVERAGE('small-batchsize'!C2:C21)</f>
        <v>0.20400000000000001</v>
      </c>
      <c r="F21" s="1">
        <f t="shared" si="0"/>
        <v>0.17050000000000001</v>
      </c>
      <c r="G21" s="1">
        <f>MEDIAN('small-batchsize'!B2:B21)</f>
        <v>0.15500000000000003</v>
      </c>
      <c r="H21" s="1">
        <f>_xlfn.STDEV.S('small-batchsize'!B2:B21)</f>
        <v>0.14809225431964251</v>
      </c>
      <c r="I21" s="4">
        <f>(G21-G2)/ABS(G2)%</f>
        <v>-56.944444444444436</v>
      </c>
      <c r="J21" s="1">
        <f>_xlfn.T.TEST('small-batchsize'!B2:B21,control!B2:B21,1,3)</f>
        <v>5.7930889388818272E-4</v>
      </c>
    </row>
    <row r="22" spans="1:10" x14ac:dyDescent="0.3">
      <c r="A22" t="s">
        <v>11</v>
      </c>
      <c r="B22">
        <f>AVERAGE('small-batchsize-small-poolsize'!A2:A21)</f>
        <v>84.711500000000001</v>
      </c>
      <c r="C22">
        <f>AVERAGE('small-batchsize-small-poolsize'!B2:B21)</f>
        <v>7.6500000000000012E-2</v>
      </c>
      <c r="D22">
        <f>AVERAGE('small-batchsize-small-poolsize'!C2:C21)</f>
        <v>0.16900000000000001</v>
      </c>
      <c r="F22" s="1">
        <f t="shared" si="0"/>
        <v>7.6500000000000012E-2</v>
      </c>
      <c r="G22" s="1">
        <f>MEDIAN('small-batchsize-small-poolsize'!B2:B21)</f>
        <v>0.03</v>
      </c>
      <c r="H22" s="1">
        <f>_xlfn.STDEV.S('small-batchsize-small-poolsize'!B2:B21)</f>
        <v>7.7681874875742588E-2</v>
      </c>
      <c r="I22" s="4">
        <f>(G22-G2)/ABS(G2)%</f>
        <v>-91.666666666666657</v>
      </c>
      <c r="J22" s="1">
        <f>_xlfn.T.TEST('small-batchsize-small-poolsize'!B2:B21,control!B2:B21,1,3)</f>
        <v>1.005864801433401E-6</v>
      </c>
    </row>
    <row r="23" spans="1:10" x14ac:dyDescent="0.3">
      <c r="A23" t="s">
        <v>38</v>
      </c>
      <c r="B23">
        <f>AVERAGE('large-poolsize'!A2:A21)</f>
        <v>114.95500000000001</v>
      </c>
      <c r="C23">
        <f>AVERAGE('large-poolsize'!B2:B21)</f>
        <v>0.19900000000000001</v>
      </c>
      <c r="D23">
        <f>AVERAGE('large-poolsize'!C2:C21)</f>
        <v>0.21700000000000008</v>
      </c>
      <c r="F23" s="1">
        <f t="shared" si="0"/>
        <v>0.19900000000000001</v>
      </c>
      <c r="G23" s="1">
        <f>MEDIAN('large-poolsize'!B2:B21)</f>
        <v>0.20500000000000002</v>
      </c>
      <c r="H23" s="1">
        <f>_xlfn.STDEV.S('large-poolsize'!B2:B21)</f>
        <v>0.15572918463591978</v>
      </c>
      <c r="I23" s="4">
        <f>(G23-G2)/ABS(G2)%</f>
        <v>-43.05555555555555</v>
      </c>
      <c r="J23" s="1">
        <f>_xlfn.T.TEST('large-poolsize'!B2:B21,control!B2:B21,1,3)</f>
        <v>2.7435920157743523E-3</v>
      </c>
    </row>
    <row r="24" spans="1:10" x14ac:dyDescent="0.3">
      <c r="A24" t="s">
        <v>39</v>
      </c>
      <c r="B24">
        <f>AVERAGE('large-batchsize-large-poolsize'!A2:A21)</f>
        <v>163.61899999999997</v>
      </c>
      <c r="C24">
        <f>AVERAGE('large-batchsize-large-poolsize'!B2:B21)</f>
        <v>0.29300000000000004</v>
      </c>
      <c r="D24">
        <f>AVERAGE('large-batchsize-large-poolsize'!C2:C21)</f>
        <v>0.25700000000000001</v>
      </c>
      <c r="F24" s="1">
        <f t="shared" si="0"/>
        <v>0.29300000000000004</v>
      </c>
      <c r="G24" s="1">
        <f>MEDIAN('large-batchsize-large-poolsize'!B2:B21)</f>
        <v>0.3</v>
      </c>
      <c r="H24" s="1">
        <f>_xlfn.STDEV.S('large-batchsize-large-poolsize'!B2:B21)</f>
        <v>0.16322731969476434</v>
      </c>
      <c r="I24" s="4">
        <f>(G24-G2)/ABS(G2)%</f>
        <v>-16.666666666666668</v>
      </c>
      <c r="J24" s="1">
        <f>_xlfn.T.TEST('large-batchsize-large-poolsize'!B2:B21,control!B2:B21,1,3)</f>
        <v>0.11199966233190056</v>
      </c>
    </row>
    <row r="25" spans="1:10" x14ac:dyDescent="0.3">
      <c r="A25" t="s">
        <v>17</v>
      </c>
      <c r="B25">
        <f>AVERAGE('low-stride'!A2:A21)</f>
        <v>878.274</v>
      </c>
      <c r="C25">
        <f>AVERAGE('low-stride'!B2:B21)</f>
        <v>0.29199999999999993</v>
      </c>
      <c r="D25">
        <f>AVERAGE('low-stride'!C2:C21)</f>
        <v>0.25199999999999995</v>
      </c>
      <c r="F25" s="1">
        <f t="shared" si="0"/>
        <v>0.29199999999999993</v>
      </c>
      <c r="G25" s="1">
        <f>MEDIAN('low-stride'!B2:B21)</f>
        <v>0.26</v>
      </c>
      <c r="H25" s="1">
        <f>_xlfn.STDEV.S('low-stride'!B2:B21)</f>
        <v>0.27318010253503577</v>
      </c>
      <c r="I25" s="4">
        <f>(G25-G2)/ABS(G2)%</f>
        <v>-27.777777777777771</v>
      </c>
      <c r="J25" s="1">
        <f>_xlfn.T.TEST('low-stride'!B2:B21,control!B2:B21,1,3)</f>
        <v>0.174756116084268</v>
      </c>
    </row>
    <row r="26" spans="1:10" x14ac:dyDescent="0.3">
      <c r="A26" t="s">
        <v>34</v>
      </c>
      <c r="B26">
        <f>AVERAGE('random-baseline'!A2:A21)</f>
        <v>0.16</v>
      </c>
      <c r="C26">
        <f>AVERAGE('random-baseline'!B2:B21)</f>
        <v>4.650000000000002E-2</v>
      </c>
      <c r="D26">
        <f>AVERAGE('random-baseline'!C2:C21)</f>
        <v>0.16350000000000001</v>
      </c>
      <c r="F26" s="1">
        <f t="shared" si="0"/>
        <v>4.650000000000002E-2</v>
      </c>
      <c r="G26" s="1">
        <f>MEDIAN('random-baseline'!B2:B21)</f>
        <v>0.05</v>
      </c>
      <c r="H26" s="1">
        <f>_xlfn.STDEV.S('random-baseline'!B2:B21)</f>
        <v>1.0399898784932511E-2</v>
      </c>
      <c r="I26" s="4">
        <f>(G26-G2)/ABS(G2)%</f>
        <v>-86.111111111111114</v>
      </c>
      <c r="J26" s="1">
        <f>_xlfn.T.TEST('random-baseline'!B2:B21,control!B2:B21,1,3)</f>
        <v>3.0353724272152038E-7</v>
      </c>
    </row>
  </sheetData>
  <conditionalFormatting sqref="J2:J26">
    <cfRule type="cellIs" dxfId="3" priority="3" operator="lessThan">
      <formula>0.05</formula>
    </cfRule>
    <cfRule type="cellIs" dxfId="2" priority="2" operator="lessThan">
      <formula>0.05</formula>
    </cfRule>
  </conditionalFormatting>
  <conditionalFormatting sqref="I2:I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F21"/>
  <sheetViews>
    <sheetView workbookViewId="0">
      <selection activeCell="F2" sqref="F2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F1" t="s">
        <v>33</v>
      </c>
    </row>
    <row r="2" spans="1:6" x14ac:dyDescent="0.3">
      <c r="A2">
        <v>420.19</v>
      </c>
      <c r="B2">
        <v>0.33</v>
      </c>
      <c r="C2">
        <v>0.23</v>
      </c>
      <c r="F2">
        <f>_xlfn.T.TEST(control!B2:B21,'grid-state'!B2:B21,1,3)</f>
        <v>1.9175933059904118E-4</v>
      </c>
    </row>
    <row r="3" spans="1:6" x14ac:dyDescent="0.3">
      <c r="A3">
        <v>298.83999999999997</v>
      </c>
      <c r="B3">
        <v>0.7</v>
      </c>
      <c r="C3">
        <v>0.38</v>
      </c>
    </row>
    <row r="4" spans="1:6" x14ac:dyDescent="0.3">
      <c r="A4">
        <v>195.88</v>
      </c>
      <c r="B4">
        <v>0.22</v>
      </c>
      <c r="C4">
        <v>0.21</v>
      </c>
    </row>
    <row r="5" spans="1:6" x14ac:dyDescent="0.3">
      <c r="A5">
        <v>270.60000000000002</v>
      </c>
      <c r="B5">
        <v>0.3</v>
      </c>
      <c r="C5">
        <v>0.27</v>
      </c>
    </row>
    <row r="6" spans="1:6" x14ac:dyDescent="0.3">
      <c r="A6">
        <v>365.05</v>
      </c>
      <c r="B6">
        <v>0.44</v>
      </c>
      <c r="C6">
        <v>0.28999999999999998</v>
      </c>
    </row>
    <row r="7" spans="1:6" x14ac:dyDescent="0.3">
      <c r="A7">
        <v>225.57</v>
      </c>
      <c r="B7">
        <v>0.22</v>
      </c>
      <c r="C7">
        <v>0.27</v>
      </c>
    </row>
    <row r="8" spans="1:6" x14ac:dyDescent="0.3">
      <c r="A8">
        <v>357.91</v>
      </c>
      <c r="B8">
        <v>0.19</v>
      </c>
      <c r="C8">
        <v>0.19</v>
      </c>
    </row>
    <row r="9" spans="1:6" x14ac:dyDescent="0.3">
      <c r="A9">
        <v>256.75</v>
      </c>
      <c r="B9">
        <v>0.3</v>
      </c>
      <c r="C9">
        <v>0.23</v>
      </c>
    </row>
    <row r="10" spans="1:6" x14ac:dyDescent="0.3">
      <c r="A10">
        <v>318.08</v>
      </c>
      <c r="B10">
        <v>0.5</v>
      </c>
      <c r="C10">
        <v>0.32</v>
      </c>
    </row>
    <row r="11" spans="1:6" x14ac:dyDescent="0.3">
      <c r="A11">
        <v>239.69</v>
      </c>
      <c r="B11">
        <v>0.41</v>
      </c>
      <c r="C11">
        <v>0.3</v>
      </c>
    </row>
    <row r="12" spans="1:6" x14ac:dyDescent="0.3">
      <c r="A12">
        <v>247.72</v>
      </c>
      <c r="B12">
        <v>0.39</v>
      </c>
      <c r="C12">
        <v>0.27</v>
      </c>
    </row>
    <row r="13" spans="1:6" x14ac:dyDescent="0.3">
      <c r="A13">
        <v>308.92</v>
      </c>
      <c r="B13">
        <v>0.54</v>
      </c>
      <c r="C13">
        <v>0.32</v>
      </c>
    </row>
    <row r="14" spans="1:6" x14ac:dyDescent="0.3">
      <c r="A14">
        <v>389.44</v>
      </c>
      <c r="B14">
        <v>0.24</v>
      </c>
      <c r="C14">
        <v>0.27</v>
      </c>
    </row>
    <row r="15" spans="1:6" x14ac:dyDescent="0.3">
      <c r="A15">
        <v>333</v>
      </c>
      <c r="B15">
        <v>0.09</v>
      </c>
      <c r="C15">
        <v>0.17</v>
      </c>
    </row>
    <row r="16" spans="1:6" x14ac:dyDescent="0.3">
      <c r="A16">
        <v>320.86</v>
      </c>
      <c r="B16">
        <v>0.57999999999999996</v>
      </c>
      <c r="C16">
        <v>0.35</v>
      </c>
    </row>
    <row r="17" spans="1:3" x14ac:dyDescent="0.3">
      <c r="A17">
        <v>371.11</v>
      </c>
      <c r="B17">
        <v>0.1</v>
      </c>
      <c r="C17">
        <v>0.17</v>
      </c>
    </row>
    <row r="18" spans="1:3" x14ac:dyDescent="0.3">
      <c r="A18">
        <v>339.65</v>
      </c>
      <c r="B18">
        <v>0.71</v>
      </c>
      <c r="C18">
        <v>0.39</v>
      </c>
    </row>
    <row r="19" spans="1:3" x14ac:dyDescent="0.3">
      <c r="A19">
        <v>272.13</v>
      </c>
      <c r="B19">
        <v>0.04</v>
      </c>
      <c r="C19">
        <v>0.24</v>
      </c>
    </row>
    <row r="20" spans="1:3" x14ac:dyDescent="0.3">
      <c r="A20">
        <v>435.29</v>
      </c>
      <c r="B20">
        <v>0.46</v>
      </c>
      <c r="C20">
        <v>0.28000000000000003</v>
      </c>
    </row>
    <row r="21" spans="1:3" x14ac:dyDescent="0.3">
      <c r="A21">
        <v>0</v>
      </c>
      <c r="B21">
        <v>0.5</v>
      </c>
      <c r="C21">
        <v>0.31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/>
  <dimension ref="A1:C21"/>
  <sheetViews>
    <sheetView workbookViewId="0">
      <selection activeCell="D21" sqref="D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29.91</v>
      </c>
      <c r="B2">
        <v>0.19</v>
      </c>
      <c r="C2">
        <v>0.19</v>
      </c>
    </row>
    <row r="3" spans="1:3" x14ac:dyDescent="0.3">
      <c r="A3">
        <v>30.28</v>
      </c>
      <c r="B3">
        <v>0.01</v>
      </c>
      <c r="C3">
        <v>0.16</v>
      </c>
    </row>
    <row r="4" spans="1:3" x14ac:dyDescent="0.3">
      <c r="A4">
        <v>32.799999999999997</v>
      </c>
      <c r="B4">
        <v>0.21</v>
      </c>
      <c r="C4">
        <v>0.22</v>
      </c>
    </row>
    <row r="5" spans="1:3" x14ac:dyDescent="0.3">
      <c r="A5">
        <v>23.52</v>
      </c>
      <c r="B5">
        <v>0.4</v>
      </c>
      <c r="C5">
        <v>0.28000000000000003</v>
      </c>
    </row>
    <row r="6" spans="1:3" x14ac:dyDescent="0.3">
      <c r="A6">
        <v>35.93</v>
      </c>
      <c r="B6">
        <v>0.38</v>
      </c>
      <c r="C6">
        <v>0.26</v>
      </c>
    </row>
    <row r="7" spans="1:3" x14ac:dyDescent="0.3">
      <c r="A7">
        <v>31.99</v>
      </c>
      <c r="B7">
        <v>0.26</v>
      </c>
      <c r="C7">
        <v>0.26</v>
      </c>
    </row>
    <row r="8" spans="1:3" x14ac:dyDescent="0.3">
      <c r="A8">
        <v>58.15</v>
      </c>
      <c r="B8">
        <v>0.02</v>
      </c>
      <c r="C8">
        <v>0.16</v>
      </c>
    </row>
    <row r="9" spans="1:3" x14ac:dyDescent="0.3">
      <c r="A9">
        <v>28.15</v>
      </c>
      <c r="B9">
        <v>0.02</v>
      </c>
      <c r="C9">
        <v>0.16</v>
      </c>
    </row>
    <row r="10" spans="1:3" x14ac:dyDescent="0.3">
      <c r="A10">
        <v>100.04</v>
      </c>
      <c r="B10">
        <v>0.01</v>
      </c>
      <c r="C10">
        <v>0.15</v>
      </c>
    </row>
    <row r="11" spans="1:3" x14ac:dyDescent="0.3">
      <c r="A11">
        <v>26.99</v>
      </c>
      <c r="B11">
        <v>0.46</v>
      </c>
      <c r="C11">
        <v>0.28000000000000003</v>
      </c>
    </row>
    <row r="12" spans="1:3" x14ac:dyDescent="0.3">
      <c r="A12">
        <v>18.13</v>
      </c>
      <c r="B12">
        <v>0.11</v>
      </c>
      <c r="C12">
        <v>0.18</v>
      </c>
    </row>
    <row r="13" spans="1:3" x14ac:dyDescent="0.3">
      <c r="A13">
        <v>29.77</v>
      </c>
      <c r="B13">
        <v>0.2</v>
      </c>
      <c r="C13">
        <v>0.21</v>
      </c>
    </row>
    <row r="14" spans="1:3" x14ac:dyDescent="0.3">
      <c r="A14">
        <v>12.15</v>
      </c>
      <c r="B14">
        <v>0.02</v>
      </c>
      <c r="C14">
        <v>0.15</v>
      </c>
    </row>
    <row r="15" spans="1:3" x14ac:dyDescent="0.3">
      <c r="A15">
        <v>39.18</v>
      </c>
      <c r="B15">
        <v>0.34</v>
      </c>
      <c r="C15">
        <v>0.24</v>
      </c>
    </row>
    <row r="16" spans="1:3" x14ac:dyDescent="0.3">
      <c r="A16">
        <v>32.74</v>
      </c>
      <c r="B16">
        <v>0.11</v>
      </c>
      <c r="C16">
        <v>0.17</v>
      </c>
    </row>
    <row r="17" spans="1:3" x14ac:dyDescent="0.3">
      <c r="A17">
        <v>30.96</v>
      </c>
      <c r="B17">
        <v>0.01</v>
      </c>
      <c r="C17">
        <v>0.19</v>
      </c>
    </row>
    <row r="18" spans="1:3" x14ac:dyDescent="0.3">
      <c r="A18">
        <v>39.840000000000003</v>
      </c>
      <c r="B18">
        <v>0.02</v>
      </c>
      <c r="C18">
        <v>0.16</v>
      </c>
    </row>
    <row r="19" spans="1:3" x14ac:dyDescent="0.3">
      <c r="A19">
        <v>67.38</v>
      </c>
      <c r="B19">
        <v>0.01</v>
      </c>
      <c r="C19">
        <v>0.16</v>
      </c>
    </row>
    <row r="20" spans="1:3" x14ac:dyDescent="0.3">
      <c r="A20">
        <v>36.729999999999997</v>
      </c>
      <c r="B20">
        <v>0.18</v>
      </c>
      <c r="C20">
        <v>0.2</v>
      </c>
    </row>
    <row r="21" spans="1:3" x14ac:dyDescent="0.3">
      <c r="A21">
        <v>32.450000000000003</v>
      </c>
      <c r="B21">
        <v>0.25</v>
      </c>
      <c r="C21">
        <v>0.26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/>
  <dimension ref="A1:F21"/>
  <sheetViews>
    <sheetView workbookViewId="0">
      <selection activeCell="F2" sqref="F2"/>
    </sheetView>
  </sheetViews>
  <sheetFormatPr defaultRowHeight="14.4" x14ac:dyDescent="0.3"/>
  <cols>
    <col min="6" max="6" width="12" bestFit="1" customWidth="1"/>
  </cols>
  <sheetData>
    <row r="1" spans="1:6" x14ac:dyDescent="0.3">
      <c r="A1" t="s">
        <v>0</v>
      </c>
      <c r="B1" t="s">
        <v>1</v>
      </c>
      <c r="C1" t="s">
        <v>2</v>
      </c>
      <c r="F1" t="s">
        <v>31</v>
      </c>
    </row>
    <row r="2" spans="1:6" x14ac:dyDescent="0.3">
      <c r="A2">
        <v>34.44</v>
      </c>
      <c r="B2">
        <v>0.01</v>
      </c>
      <c r="C2">
        <v>0.15</v>
      </c>
      <c r="F2" s="3">
        <f>_xlfn.T.TEST(B2:B21,control!B2:B21,1,3)</f>
        <v>7.1798488814735596E-8</v>
      </c>
    </row>
    <row r="3" spans="1:6" x14ac:dyDescent="0.3">
      <c r="A3">
        <v>60.19</v>
      </c>
      <c r="B3">
        <v>0.01</v>
      </c>
      <c r="C3">
        <v>0.14000000000000001</v>
      </c>
    </row>
    <row r="4" spans="1:6" x14ac:dyDescent="0.3">
      <c r="A4">
        <v>40.39</v>
      </c>
      <c r="B4">
        <v>0</v>
      </c>
      <c r="C4">
        <v>0.15</v>
      </c>
    </row>
    <row r="5" spans="1:6" x14ac:dyDescent="0.3">
      <c r="A5">
        <v>43.31</v>
      </c>
      <c r="B5">
        <v>0.01</v>
      </c>
      <c r="C5">
        <v>0.13</v>
      </c>
    </row>
    <row r="6" spans="1:6" x14ac:dyDescent="0.3">
      <c r="A6">
        <v>46.88</v>
      </c>
      <c r="B6">
        <v>0.01</v>
      </c>
      <c r="C6">
        <v>0.15</v>
      </c>
    </row>
    <row r="7" spans="1:6" x14ac:dyDescent="0.3">
      <c r="A7">
        <v>53.22</v>
      </c>
      <c r="B7">
        <v>0.01</v>
      </c>
      <c r="C7">
        <v>0.12</v>
      </c>
    </row>
    <row r="8" spans="1:6" x14ac:dyDescent="0.3">
      <c r="A8">
        <v>56.18</v>
      </c>
      <c r="B8">
        <v>0.01</v>
      </c>
      <c r="C8">
        <v>0.13</v>
      </c>
    </row>
    <row r="9" spans="1:6" x14ac:dyDescent="0.3">
      <c r="A9">
        <v>70.150000000000006</v>
      </c>
      <c r="B9">
        <v>0.01</v>
      </c>
      <c r="C9">
        <v>0.13</v>
      </c>
    </row>
    <row r="10" spans="1:6" x14ac:dyDescent="0.3">
      <c r="A10">
        <v>58.47</v>
      </c>
      <c r="B10">
        <v>0.09</v>
      </c>
      <c r="C10">
        <v>0.16</v>
      </c>
    </row>
    <row r="11" spans="1:6" x14ac:dyDescent="0.3">
      <c r="A11">
        <v>75.73</v>
      </c>
      <c r="B11">
        <v>0</v>
      </c>
      <c r="C11">
        <v>0.13</v>
      </c>
    </row>
    <row r="12" spans="1:6" x14ac:dyDescent="0.3">
      <c r="A12">
        <v>55.19</v>
      </c>
      <c r="B12">
        <v>0.01</v>
      </c>
      <c r="C12">
        <v>0.12</v>
      </c>
    </row>
    <row r="13" spans="1:6" x14ac:dyDescent="0.3">
      <c r="A13">
        <v>83.52</v>
      </c>
      <c r="B13">
        <v>0.01</v>
      </c>
      <c r="C13">
        <v>0.15</v>
      </c>
    </row>
    <row r="14" spans="1:6" x14ac:dyDescent="0.3">
      <c r="A14">
        <v>65.8</v>
      </c>
      <c r="B14">
        <v>0.01</v>
      </c>
      <c r="C14">
        <v>0.12</v>
      </c>
    </row>
    <row r="15" spans="1:6" x14ac:dyDescent="0.3">
      <c r="A15">
        <v>84.6</v>
      </c>
      <c r="B15">
        <v>0</v>
      </c>
      <c r="C15">
        <v>0.14000000000000001</v>
      </c>
    </row>
    <row r="16" spans="1:6" x14ac:dyDescent="0.3">
      <c r="A16">
        <v>77.92</v>
      </c>
      <c r="B16">
        <v>0.03</v>
      </c>
      <c r="C16">
        <v>0.15</v>
      </c>
    </row>
    <row r="17" spans="1:3" x14ac:dyDescent="0.3">
      <c r="A17">
        <v>83.67</v>
      </c>
      <c r="B17">
        <v>0</v>
      </c>
      <c r="C17">
        <v>0.14000000000000001</v>
      </c>
    </row>
    <row r="18" spans="1:3" x14ac:dyDescent="0.3">
      <c r="A18">
        <v>94.46</v>
      </c>
      <c r="B18">
        <v>0.02</v>
      </c>
      <c r="C18">
        <v>0.17</v>
      </c>
    </row>
    <row r="19" spans="1:3" x14ac:dyDescent="0.3">
      <c r="A19">
        <v>88.81</v>
      </c>
      <c r="B19">
        <v>0.04</v>
      </c>
      <c r="C19">
        <v>0.14000000000000001</v>
      </c>
    </row>
    <row r="20" spans="1:3" x14ac:dyDescent="0.3">
      <c r="A20">
        <v>79.069999999999993</v>
      </c>
      <c r="B20">
        <v>0.02</v>
      </c>
      <c r="C20">
        <v>0.16</v>
      </c>
    </row>
    <row r="21" spans="1:3" x14ac:dyDescent="0.3">
      <c r="A21">
        <v>88.57</v>
      </c>
      <c r="B21">
        <v>0</v>
      </c>
      <c r="C21">
        <v>0.14000000000000001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/>
  <dimension ref="A1:C21"/>
  <sheetViews>
    <sheetView workbookViewId="0">
      <selection activeCell="G27" sqref="G27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12.83</v>
      </c>
      <c r="B2">
        <v>0.01</v>
      </c>
      <c r="C2">
        <v>0.15</v>
      </c>
    </row>
    <row r="3" spans="1:3" x14ac:dyDescent="0.3">
      <c r="A3">
        <v>10.11</v>
      </c>
      <c r="B3">
        <v>0.04</v>
      </c>
      <c r="C3">
        <v>0.17</v>
      </c>
    </row>
    <row r="4" spans="1:3" x14ac:dyDescent="0.3">
      <c r="A4">
        <v>13.18</v>
      </c>
      <c r="B4">
        <v>0</v>
      </c>
      <c r="C4">
        <v>0.14000000000000001</v>
      </c>
    </row>
    <row r="5" spans="1:3" x14ac:dyDescent="0.3">
      <c r="A5">
        <v>9.57</v>
      </c>
      <c r="B5">
        <v>0.01</v>
      </c>
      <c r="C5">
        <v>0.13</v>
      </c>
    </row>
    <row r="6" spans="1:3" x14ac:dyDescent="0.3">
      <c r="A6">
        <v>10.6</v>
      </c>
      <c r="B6">
        <v>0.01</v>
      </c>
      <c r="C6">
        <v>0.15</v>
      </c>
    </row>
    <row r="7" spans="1:3" x14ac:dyDescent="0.3">
      <c r="A7">
        <v>10.130000000000001</v>
      </c>
      <c r="B7">
        <v>0</v>
      </c>
      <c r="C7">
        <v>0.12</v>
      </c>
    </row>
    <row r="8" spans="1:3" x14ac:dyDescent="0.3">
      <c r="A8">
        <v>9.8800000000000008</v>
      </c>
      <c r="B8">
        <v>0</v>
      </c>
      <c r="C8">
        <v>0.12</v>
      </c>
    </row>
    <row r="9" spans="1:3" x14ac:dyDescent="0.3">
      <c r="A9">
        <v>11.35</v>
      </c>
      <c r="B9">
        <v>0.01</v>
      </c>
      <c r="C9">
        <v>0.12</v>
      </c>
    </row>
    <row r="10" spans="1:3" x14ac:dyDescent="0.3">
      <c r="A10">
        <v>10.78</v>
      </c>
      <c r="B10">
        <v>0</v>
      </c>
      <c r="C10">
        <v>0.12</v>
      </c>
    </row>
    <row r="11" spans="1:3" x14ac:dyDescent="0.3">
      <c r="A11">
        <v>17.48</v>
      </c>
      <c r="B11">
        <v>0.02</v>
      </c>
      <c r="C11">
        <v>0.15</v>
      </c>
    </row>
    <row r="12" spans="1:3" x14ac:dyDescent="0.3">
      <c r="A12">
        <v>11.18</v>
      </c>
      <c r="B12">
        <v>0.01</v>
      </c>
      <c r="C12">
        <v>0.13</v>
      </c>
    </row>
    <row r="13" spans="1:3" x14ac:dyDescent="0.3">
      <c r="A13">
        <v>15.28</v>
      </c>
      <c r="B13">
        <v>0.03</v>
      </c>
      <c r="C13">
        <v>0.16</v>
      </c>
    </row>
    <row r="14" spans="1:3" x14ac:dyDescent="0.3">
      <c r="A14">
        <v>14.43</v>
      </c>
      <c r="B14">
        <v>0.01</v>
      </c>
      <c r="C14">
        <v>0.14000000000000001</v>
      </c>
    </row>
    <row r="15" spans="1:3" x14ac:dyDescent="0.3">
      <c r="A15">
        <v>14.69</v>
      </c>
      <c r="B15">
        <v>0</v>
      </c>
      <c r="C15">
        <v>0.13</v>
      </c>
    </row>
    <row r="16" spans="1:3" x14ac:dyDescent="0.3">
      <c r="A16">
        <v>14.52</v>
      </c>
      <c r="B16">
        <v>0.01</v>
      </c>
      <c r="C16">
        <v>0.14000000000000001</v>
      </c>
    </row>
    <row r="17" spans="1:3" x14ac:dyDescent="0.3">
      <c r="A17">
        <v>13.1</v>
      </c>
      <c r="B17">
        <v>0.02</v>
      </c>
      <c r="C17">
        <v>0.15</v>
      </c>
    </row>
    <row r="18" spans="1:3" x14ac:dyDescent="0.3">
      <c r="A18">
        <v>10.35</v>
      </c>
      <c r="B18">
        <v>0.01</v>
      </c>
      <c r="C18">
        <v>0.13</v>
      </c>
    </row>
    <row r="19" spans="1:3" x14ac:dyDescent="0.3">
      <c r="A19">
        <v>21.44</v>
      </c>
      <c r="B19">
        <v>0.04</v>
      </c>
      <c r="C19">
        <v>0.17</v>
      </c>
    </row>
    <row r="20" spans="1:3" x14ac:dyDescent="0.3">
      <c r="A20">
        <v>13.77</v>
      </c>
      <c r="B20">
        <v>0.01</v>
      </c>
      <c r="C20">
        <v>0.13</v>
      </c>
    </row>
    <row r="21" spans="1:3" x14ac:dyDescent="0.3">
      <c r="A21">
        <v>22.03</v>
      </c>
      <c r="B21">
        <v>0.02</v>
      </c>
      <c r="C21">
        <v>0.15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F21"/>
  <sheetViews>
    <sheetView workbookViewId="0">
      <selection activeCell="B2" sqref="B2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F1" t="s">
        <v>25</v>
      </c>
    </row>
    <row r="2" spans="1:6" x14ac:dyDescent="0.3">
      <c r="A2">
        <v>338.91</v>
      </c>
      <c r="B2">
        <v>0.68</v>
      </c>
      <c r="C2">
        <v>0.37</v>
      </c>
      <c r="F2">
        <f>_xlfn.T.TEST(B2:B21,control!B2:B21,1,3)</f>
        <v>5.6239940281825112E-3</v>
      </c>
    </row>
    <row r="3" spans="1:6" x14ac:dyDescent="0.3">
      <c r="A3">
        <v>460.37</v>
      </c>
      <c r="B3">
        <v>0.42</v>
      </c>
      <c r="C3">
        <v>0.38</v>
      </c>
    </row>
    <row r="4" spans="1:6" x14ac:dyDescent="0.3">
      <c r="A4">
        <v>258.39</v>
      </c>
      <c r="B4">
        <v>0.05</v>
      </c>
      <c r="C4">
        <v>0.16</v>
      </c>
    </row>
    <row r="5" spans="1:6" x14ac:dyDescent="0.3">
      <c r="A5">
        <v>272.10000000000002</v>
      </c>
      <c r="B5">
        <v>0.53</v>
      </c>
      <c r="C5">
        <v>0.32</v>
      </c>
    </row>
    <row r="6" spans="1:6" x14ac:dyDescent="0.3">
      <c r="A6">
        <v>222.09</v>
      </c>
      <c r="B6">
        <v>0.85</v>
      </c>
      <c r="C6">
        <v>0.45</v>
      </c>
    </row>
    <row r="7" spans="1:6" x14ac:dyDescent="0.3">
      <c r="A7">
        <v>395.99</v>
      </c>
      <c r="B7">
        <v>0.5</v>
      </c>
      <c r="C7">
        <v>0.3</v>
      </c>
    </row>
    <row r="8" spans="1:6" x14ac:dyDescent="0.3">
      <c r="A8">
        <v>243.42</v>
      </c>
      <c r="B8">
        <v>0.91</v>
      </c>
      <c r="C8">
        <v>0.47</v>
      </c>
    </row>
    <row r="9" spans="1:6" x14ac:dyDescent="0.3">
      <c r="A9">
        <v>384.76</v>
      </c>
      <c r="B9">
        <v>0.79</v>
      </c>
      <c r="C9">
        <v>0.42</v>
      </c>
    </row>
    <row r="10" spans="1:6" x14ac:dyDescent="0.3">
      <c r="A10">
        <v>310.94</v>
      </c>
      <c r="B10">
        <v>0.66</v>
      </c>
      <c r="C10">
        <v>0.36</v>
      </c>
    </row>
    <row r="11" spans="1:6" x14ac:dyDescent="0.3">
      <c r="A11">
        <v>219.79</v>
      </c>
      <c r="B11">
        <v>0.88</v>
      </c>
      <c r="C11">
        <v>0.45</v>
      </c>
    </row>
    <row r="12" spans="1:6" x14ac:dyDescent="0.3">
      <c r="A12">
        <v>238.65</v>
      </c>
      <c r="B12">
        <v>0.38</v>
      </c>
      <c r="C12">
        <v>0.25</v>
      </c>
    </row>
    <row r="13" spans="1:6" x14ac:dyDescent="0.3">
      <c r="A13">
        <v>306.67</v>
      </c>
      <c r="B13">
        <v>0.3</v>
      </c>
      <c r="C13">
        <v>0.22</v>
      </c>
    </row>
    <row r="14" spans="1:6" x14ac:dyDescent="0.3">
      <c r="A14">
        <v>255.61</v>
      </c>
      <c r="B14">
        <v>0.64</v>
      </c>
      <c r="C14">
        <v>0.35</v>
      </c>
    </row>
    <row r="15" spans="1:6" x14ac:dyDescent="0.3">
      <c r="A15">
        <v>362.53</v>
      </c>
      <c r="B15">
        <v>0.31</v>
      </c>
      <c r="C15">
        <v>0.23</v>
      </c>
    </row>
    <row r="16" spans="1:6" x14ac:dyDescent="0.3">
      <c r="A16">
        <v>391.36</v>
      </c>
      <c r="B16">
        <v>0.64</v>
      </c>
      <c r="C16">
        <v>0.37</v>
      </c>
    </row>
    <row r="17" spans="1:3" x14ac:dyDescent="0.3">
      <c r="A17">
        <v>311.29000000000002</v>
      </c>
      <c r="B17">
        <v>0.33</v>
      </c>
      <c r="C17">
        <v>0.24</v>
      </c>
    </row>
    <row r="18" spans="1:3" x14ac:dyDescent="0.3">
      <c r="A18">
        <v>435.97</v>
      </c>
      <c r="B18">
        <v>0.75</v>
      </c>
      <c r="C18">
        <v>0.4</v>
      </c>
    </row>
    <row r="19" spans="1:3" x14ac:dyDescent="0.3">
      <c r="A19">
        <v>461.64</v>
      </c>
      <c r="B19">
        <v>0.56000000000000005</v>
      </c>
      <c r="C19">
        <v>0.32</v>
      </c>
    </row>
    <row r="20" spans="1:3" x14ac:dyDescent="0.3">
      <c r="A20">
        <v>435.97</v>
      </c>
      <c r="B20">
        <v>0.23</v>
      </c>
      <c r="C20">
        <v>0.25</v>
      </c>
    </row>
    <row r="21" spans="1:3" x14ac:dyDescent="0.3">
      <c r="A21">
        <v>347.48</v>
      </c>
      <c r="B21">
        <v>0.48</v>
      </c>
      <c r="C21">
        <v>0.3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F21"/>
  <sheetViews>
    <sheetView workbookViewId="0">
      <selection activeCell="F2" sqref="F2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F1" t="s">
        <v>28</v>
      </c>
    </row>
    <row r="2" spans="1:6" x14ac:dyDescent="0.3">
      <c r="A2">
        <v>20.260000000000002</v>
      </c>
      <c r="B2">
        <v>0.18</v>
      </c>
      <c r="C2">
        <v>0.19</v>
      </c>
      <c r="F2">
        <f>_xlfn.T.TEST(B2:B21,'low-iteration'!B2:B21,1,3)</f>
        <v>0.20100436720453746</v>
      </c>
    </row>
    <row r="3" spans="1:6" x14ac:dyDescent="0.3">
      <c r="A3">
        <v>28.42</v>
      </c>
      <c r="B3">
        <v>0.02</v>
      </c>
      <c r="C3">
        <v>0.15</v>
      </c>
    </row>
    <row r="4" spans="1:6" x14ac:dyDescent="0.3">
      <c r="A4">
        <v>29.33</v>
      </c>
      <c r="B4">
        <v>0.05</v>
      </c>
      <c r="C4">
        <v>0.18</v>
      </c>
    </row>
    <row r="5" spans="1:6" x14ac:dyDescent="0.3">
      <c r="A5">
        <v>59.65</v>
      </c>
      <c r="B5">
        <v>0.28999999999999998</v>
      </c>
      <c r="C5">
        <v>0.23</v>
      </c>
    </row>
    <row r="6" spans="1:6" x14ac:dyDescent="0.3">
      <c r="A6">
        <v>17.96</v>
      </c>
      <c r="B6">
        <v>0.19</v>
      </c>
      <c r="C6">
        <v>0.2</v>
      </c>
    </row>
    <row r="7" spans="1:6" x14ac:dyDescent="0.3">
      <c r="A7">
        <v>35.96</v>
      </c>
      <c r="B7">
        <v>0.03</v>
      </c>
      <c r="C7">
        <v>0.18</v>
      </c>
    </row>
    <row r="8" spans="1:6" x14ac:dyDescent="0.3">
      <c r="A8">
        <v>14.28</v>
      </c>
      <c r="B8">
        <v>0.1</v>
      </c>
      <c r="C8">
        <v>0.21</v>
      </c>
    </row>
    <row r="9" spans="1:6" x14ac:dyDescent="0.3">
      <c r="A9">
        <v>34.549999999999997</v>
      </c>
      <c r="B9">
        <v>0.08</v>
      </c>
      <c r="C9">
        <v>0.2</v>
      </c>
    </row>
    <row r="10" spans="1:6" x14ac:dyDescent="0.3">
      <c r="A10">
        <v>20.09</v>
      </c>
      <c r="B10">
        <v>7.0000000000000007E-2</v>
      </c>
      <c r="C10">
        <v>0.16</v>
      </c>
    </row>
    <row r="11" spans="1:6" x14ac:dyDescent="0.3">
      <c r="A11">
        <v>37.97</v>
      </c>
      <c r="B11">
        <v>0.01</v>
      </c>
      <c r="C11">
        <v>0.14000000000000001</v>
      </c>
    </row>
    <row r="12" spans="1:6" x14ac:dyDescent="0.3">
      <c r="A12">
        <v>29.52</v>
      </c>
      <c r="B12">
        <v>0.09</v>
      </c>
      <c r="C12">
        <v>0.19</v>
      </c>
    </row>
    <row r="13" spans="1:6" x14ac:dyDescent="0.3">
      <c r="A13">
        <v>30.1</v>
      </c>
      <c r="B13">
        <v>7.0000000000000007E-2</v>
      </c>
      <c r="C13">
        <v>0.17</v>
      </c>
    </row>
    <row r="14" spans="1:6" x14ac:dyDescent="0.3">
      <c r="A14">
        <v>41.51</v>
      </c>
      <c r="B14">
        <v>0.17</v>
      </c>
      <c r="C14">
        <v>0.19</v>
      </c>
    </row>
    <row r="15" spans="1:6" x14ac:dyDescent="0.3">
      <c r="A15">
        <v>25.02</v>
      </c>
      <c r="B15">
        <v>0.16</v>
      </c>
      <c r="C15">
        <v>0.22</v>
      </c>
    </row>
    <row r="16" spans="1:6" x14ac:dyDescent="0.3">
      <c r="A16">
        <v>16.59</v>
      </c>
      <c r="B16">
        <v>0.17</v>
      </c>
      <c r="C16">
        <v>0.23</v>
      </c>
    </row>
    <row r="17" spans="1:3" x14ac:dyDescent="0.3">
      <c r="A17">
        <v>14.83</v>
      </c>
      <c r="B17">
        <v>0.16</v>
      </c>
      <c r="C17">
        <v>0.21</v>
      </c>
    </row>
    <row r="18" spans="1:3" x14ac:dyDescent="0.3">
      <c r="A18">
        <v>65.97</v>
      </c>
      <c r="B18">
        <v>0.27</v>
      </c>
      <c r="C18">
        <v>0.21</v>
      </c>
    </row>
    <row r="19" spans="1:3" x14ac:dyDescent="0.3">
      <c r="A19">
        <v>46.26</v>
      </c>
      <c r="B19">
        <v>0.33</v>
      </c>
      <c r="C19">
        <v>0.24</v>
      </c>
    </row>
    <row r="20" spans="1:3" x14ac:dyDescent="0.3">
      <c r="A20">
        <v>37.46</v>
      </c>
      <c r="B20">
        <v>0.08</v>
      </c>
      <c r="C20">
        <v>0.2</v>
      </c>
    </row>
    <row r="21" spans="1:3" x14ac:dyDescent="0.3">
      <c r="A21">
        <v>27.41</v>
      </c>
      <c r="B21">
        <v>0.02</v>
      </c>
      <c r="C21">
        <v>0.16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151.46</v>
      </c>
      <c r="B2">
        <v>0.02</v>
      </c>
      <c r="C2">
        <v>0.14000000000000001</v>
      </c>
    </row>
    <row r="3" spans="1:3" x14ac:dyDescent="0.3">
      <c r="A3">
        <v>304.67</v>
      </c>
      <c r="B3">
        <v>0.01</v>
      </c>
      <c r="C3">
        <v>0.15</v>
      </c>
    </row>
    <row r="4" spans="1:3" x14ac:dyDescent="0.3">
      <c r="A4">
        <v>322.14999999999998</v>
      </c>
      <c r="B4">
        <v>0.1</v>
      </c>
      <c r="C4">
        <v>0.21</v>
      </c>
    </row>
    <row r="5" spans="1:3" x14ac:dyDescent="0.3">
      <c r="A5">
        <v>224.71</v>
      </c>
      <c r="B5">
        <v>0.25</v>
      </c>
      <c r="C5">
        <v>0.23</v>
      </c>
    </row>
    <row r="6" spans="1:3" x14ac:dyDescent="0.3">
      <c r="A6">
        <v>407.43</v>
      </c>
      <c r="B6">
        <v>0.17</v>
      </c>
      <c r="C6">
        <v>0.18</v>
      </c>
    </row>
    <row r="7" spans="1:3" x14ac:dyDescent="0.3">
      <c r="A7">
        <v>109.08</v>
      </c>
      <c r="B7">
        <v>0.03</v>
      </c>
      <c r="C7">
        <v>0.15</v>
      </c>
    </row>
    <row r="8" spans="1:3" x14ac:dyDescent="0.3">
      <c r="A8">
        <v>252.42</v>
      </c>
      <c r="B8">
        <v>0.53</v>
      </c>
      <c r="C8">
        <v>0.32</v>
      </c>
    </row>
    <row r="9" spans="1:3" x14ac:dyDescent="0.3">
      <c r="A9">
        <v>239.87</v>
      </c>
      <c r="B9">
        <v>0.01</v>
      </c>
      <c r="C9">
        <v>0.14000000000000001</v>
      </c>
    </row>
    <row r="10" spans="1:3" x14ac:dyDescent="0.3">
      <c r="A10">
        <v>258.14999999999998</v>
      </c>
      <c r="B10">
        <v>7.0000000000000007E-2</v>
      </c>
      <c r="C10">
        <v>0.16</v>
      </c>
    </row>
    <row r="11" spans="1:3" x14ac:dyDescent="0.3">
      <c r="A11">
        <v>240.14</v>
      </c>
      <c r="B11">
        <v>0.11</v>
      </c>
      <c r="C11">
        <v>0.15</v>
      </c>
    </row>
    <row r="12" spans="1:3" x14ac:dyDescent="0.3">
      <c r="A12">
        <v>225.37</v>
      </c>
      <c r="B12">
        <v>0.02</v>
      </c>
      <c r="C12">
        <v>0.16</v>
      </c>
    </row>
    <row r="13" spans="1:3" x14ac:dyDescent="0.3">
      <c r="A13">
        <v>310.39999999999998</v>
      </c>
      <c r="B13">
        <v>0.13</v>
      </c>
      <c r="C13">
        <v>0.16</v>
      </c>
    </row>
    <row r="14" spans="1:3" x14ac:dyDescent="0.3">
      <c r="A14">
        <v>261.38</v>
      </c>
      <c r="B14">
        <v>0.17</v>
      </c>
      <c r="C14">
        <v>0.23</v>
      </c>
    </row>
    <row r="15" spans="1:3" x14ac:dyDescent="0.3">
      <c r="A15">
        <v>297.45999999999998</v>
      </c>
      <c r="B15">
        <v>0.08</v>
      </c>
      <c r="C15">
        <v>0.15</v>
      </c>
    </row>
    <row r="16" spans="1:3" x14ac:dyDescent="0.3">
      <c r="A16">
        <v>250.44</v>
      </c>
      <c r="B16">
        <v>0.21</v>
      </c>
      <c r="C16">
        <v>0.19</v>
      </c>
    </row>
    <row r="17" spans="1:3" x14ac:dyDescent="0.3">
      <c r="A17">
        <v>262.3</v>
      </c>
      <c r="B17">
        <v>0.16</v>
      </c>
      <c r="C17">
        <v>0.2</v>
      </c>
    </row>
    <row r="18" spans="1:3" x14ac:dyDescent="0.3">
      <c r="A18">
        <v>339.82</v>
      </c>
      <c r="B18">
        <v>0.02</v>
      </c>
      <c r="C18">
        <v>0.14000000000000001</v>
      </c>
    </row>
    <row r="19" spans="1:3" x14ac:dyDescent="0.3">
      <c r="A19">
        <v>326.20999999999998</v>
      </c>
      <c r="B19">
        <v>0.41</v>
      </c>
      <c r="C19">
        <v>0.27</v>
      </c>
    </row>
    <row r="20" spans="1:3" x14ac:dyDescent="0.3">
      <c r="A20">
        <v>364.57</v>
      </c>
      <c r="B20">
        <v>0.41</v>
      </c>
      <c r="C20">
        <v>0.28000000000000003</v>
      </c>
    </row>
    <row r="21" spans="1:3" x14ac:dyDescent="0.3">
      <c r="A21">
        <v>219.81</v>
      </c>
      <c r="B21">
        <v>7.0000000000000007E-2</v>
      </c>
      <c r="C21">
        <v>0.15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268.64</v>
      </c>
      <c r="B2">
        <v>0.01</v>
      </c>
      <c r="C2">
        <v>0.16</v>
      </c>
    </row>
    <row r="3" spans="1:3" x14ac:dyDescent="0.3">
      <c r="A3">
        <v>365.05</v>
      </c>
      <c r="B3">
        <v>0.01</v>
      </c>
      <c r="C3">
        <v>0.14000000000000001</v>
      </c>
    </row>
    <row r="4" spans="1:3" x14ac:dyDescent="0.3">
      <c r="A4">
        <v>243.12</v>
      </c>
      <c r="B4">
        <v>0.01</v>
      </c>
      <c r="C4">
        <v>0.12</v>
      </c>
    </row>
    <row r="5" spans="1:3" x14ac:dyDescent="0.3">
      <c r="A5">
        <v>197.94</v>
      </c>
      <c r="B5">
        <v>0.02</v>
      </c>
      <c r="C5">
        <v>0.14000000000000001</v>
      </c>
    </row>
    <row r="6" spans="1:3" x14ac:dyDescent="0.3">
      <c r="A6">
        <v>476.06</v>
      </c>
      <c r="B6">
        <v>0.02</v>
      </c>
      <c r="C6">
        <v>0.15</v>
      </c>
    </row>
    <row r="7" spans="1:3" x14ac:dyDescent="0.3">
      <c r="A7">
        <v>453.02</v>
      </c>
      <c r="B7">
        <v>7.0000000000000007E-2</v>
      </c>
      <c r="C7">
        <v>0.17</v>
      </c>
    </row>
    <row r="8" spans="1:3" x14ac:dyDescent="0.3">
      <c r="A8">
        <v>360.7</v>
      </c>
      <c r="B8">
        <v>0.41</v>
      </c>
      <c r="C8">
        <v>0.26</v>
      </c>
    </row>
    <row r="9" spans="1:3" x14ac:dyDescent="0.3">
      <c r="A9">
        <v>746.51</v>
      </c>
      <c r="B9">
        <v>0.02</v>
      </c>
      <c r="C9">
        <v>0.14000000000000001</v>
      </c>
    </row>
    <row r="10" spans="1:3" x14ac:dyDescent="0.3">
      <c r="A10">
        <v>407.45</v>
      </c>
      <c r="B10">
        <v>0.42</v>
      </c>
      <c r="C10">
        <v>0.31</v>
      </c>
    </row>
    <row r="11" spans="1:3" x14ac:dyDescent="0.3">
      <c r="A11">
        <v>986.31</v>
      </c>
      <c r="B11">
        <v>0.01</v>
      </c>
      <c r="C11">
        <v>0.13</v>
      </c>
    </row>
    <row r="12" spans="1:3" x14ac:dyDescent="0.3">
      <c r="A12">
        <v>506.45</v>
      </c>
      <c r="B12">
        <v>0.18</v>
      </c>
      <c r="C12">
        <v>0.18</v>
      </c>
    </row>
    <row r="13" spans="1:3" x14ac:dyDescent="0.3">
      <c r="A13">
        <v>344.95</v>
      </c>
      <c r="B13">
        <v>0.78</v>
      </c>
      <c r="C13">
        <v>0.41</v>
      </c>
    </row>
    <row r="14" spans="1:3" x14ac:dyDescent="0.3">
      <c r="A14">
        <v>361.72</v>
      </c>
      <c r="B14">
        <v>0.3</v>
      </c>
      <c r="C14">
        <v>0.24</v>
      </c>
    </row>
    <row r="15" spans="1:3" x14ac:dyDescent="0.3">
      <c r="A15">
        <v>413.24</v>
      </c>
      <c r="B15">
        <v>0.01</v>
      </c>
      <c r="C15">
        <v>0.13</v>
      </c>
    </row>
    <row r="16" spans="1:3" x14ac:dyDescent="0.3">
      <c r="A16">
        <v>569.14</v>
      </c>
      <c r="B16">
        <v>0.13</v>
      </c>
      <c r="C16">
        <v>0.18</v>
      </c>
    </row>
    <row r="17" spans="1:3" x14ac:dyDescent="0.3">
      <c r="A17">
        <v>145.61000000000001</v>
      </c>
      <c r="B17">
        <v>0.01</v>
      </c>
      <c r="C17">
        <v>0.15</v>
      </c>
    </row>
    <row r="18" spans="1:3" x14ac:dyDescent="0.3">
      <c r="A18">
        <v>335.73</v>
      </c>
      <c r="B18">
        <v>0.01</v>
      </c>
      <c r="C18">
        <v>0.15</v>
      </c>
    </row>
    <row r="19" spans="1:3" x14ac:dyDescent="0.3">
      <c r="A19">
        <v>199.41</v>
      </c>
      <c r="B19">
        <v>0.02</v>
      </c>
      <c r="C19">
        <v>0.15</v>
      </c>
    </row>
    <row r="20" spans="1:3" x14ac:dyDescent="0.3">
      <c r="A20">
        <v>395.88</v>
      </c>
      <c r="B20">
        <v>0.71</v>
      </c>
      <c r="C20">
        <v>0.38</v>
      </c>
    </row>
    <row r="21" spans="1:3" x14ac:dyDescent="0.3">
      <c r="A21">
        <v>298.35000000000002</v>
      </c>
      <c r="B21">
        <v>0.01</v>
      </c>
      <c r="C21">
        <v>0.15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220.65</v>
      </c>
      <c r="B2">
        <v>0.12</v>
      </c>
      <c r="C2">
        <v>0.17</v>
      </c>
    </row>
    <row r="3" spans="1:3" x14ac:dyDescent="0.3">
      <c r="A3">
        <v>207.9</v>
      </c>
      <c r="B3">
        <v>0.17</v>
      </c>
      <c r="C3">
        <v>0.19</v>
      </c>
    </row>
    <row r="4" spans="1:3" x14ac:dyDescent="0.3">
      <c r="A4">
        <v>158.15</v>
      </c>
      <c r="B4">
        <v>0.14000000000000001</v>
      </c>
      <c r="C4">
        <v>0.17</v>
      </c>
    </row>
    <row r="5" spans="1:3" x14ac:dyDescent="0.3">
      <c r="A5">
        <v>225.97</v>
      </c>
      <c r="B5">
        <v>0.1</v>
      </c>
      <c r="C5">
        <v>0.18</v>
      </c>
    </row>
    <row r="6" spans="1:3" x14ac:dyDescent="0.3">
      <c r="A6">
        <v>167.9</v>
      </c>
      <c r="B6">
        <v>0</v>
      </c>
      <c r="C6">
        <v>0.14000000000000001</v>
      </c>
    </row>
    <row r="7" spans="1:3" x14ac:dyDescent="0.3">
      <c r="A7">
        <v>120.3</v>
      </c>
      <c r="B7">
        <v>0.01</v>
      </c>
      <c r="C7">
        <v>0.15</v>
      </c>
    </row>
    <row r="8" spans="1:3" x14ac:dyDescent="0.3">
      <c r="A8">
        <v>189.94</v>
      </c>
      <c r="B8">
        <v>0.1</v>
      </c>
      <c r="C8">
        <v>0.16</v>
      </c>
    </row>
    <row r="9" spans="1:3" x14ac:dyDescent="0.3">
      <c r="A9">
        <v>176.81</v>
      </c>
      <c r="B9">
        <v>0.22</v>
      </c>
      <c r="C9">
        <v>0.19</v>
      </c>
    </row>
    <row r="10" spans="1:3" x14ac:dyDescent="0.3">
      <c r="A10">
        <v>265.07</v>
      </c>
      <c r="B10">
        <v>0.22</v>
      </c>
      <c r="C10">
        <v>0.19</v>
      </c>
    </row>
    <row r="11" spans="1:3" x14ac:dyDescent="0.3">
      <c r="A11">
        <v>193.68</v>
      </c>
      <c r="B11">
        <v>0.03</v>
      </c>
      <c r="C11">
        <v>0.16</v>
      </c>
    </row>
    <row r="12" spans="1:3" x14ac:dyDescent="0.3">
      <c r="A12">
        <v>177.48</v>
      </c>
      <c r="B12">
        <v>0.21</v>
      </c>
      <c r="C12">
        <v>0.19</v>
      </c>
    </row>
    <row r="13" spans="1:3" x14ac:dyDescent="0.3">
      <c r="A13">
        <v>220.49</v>
      </c>
      <c r="B13">
        <v>0.22</v>
      </c>
      <c r="C13">
        <v>0.19</v>
      </c>
    </row>
    <row r="14" spans="1:3" x14ac:dyDescent="0.3">
      <c r="A14">
        <v>212.84</v>
      </c>
      <c r="B14">
        <v>0.11</v>
      </c>
      <c r="C14">
        <v>0.17</v>
      </c>
    </row>
    <row r="15" spans="1:3" x14ac:dyDescent="0.3">
      <c r="A15">
        <v>168.03</v>
      </c>
      <c r="B15">
        <v>0.22</v>
      </c>
      <c r="C15">
        <v>0.19</v>
      </c>
    </row>
    <row r="16" spans="1:3" x14ac:dyDescent="0.3">
      <c r="A16">
        <v>187.32</v>
      </c>
      <c r="B16">
        <v>0.16</v>
      </c>
      <c r="C16">
        <v>0.18</v>
      </c>
    </row>
    <row r="17" spans="1:3" x14ac:dyDescent="0.3">
      <c r="A17">
        <v>211.72</v>
      </c>
      <c r="B17">
        <v>0.18</v>
      </c>
      <c r="C17">
        <v>0.18</v>
      </c>
    </row>
    <row r="18" spans="1:3" x14ac:dyDescent="0.3">
      <c r="A18">
        <v>117.7</v>
      </c>
      <c r="B18">
        <v>0.02</v>
      </c>
      <c r="C18">
        <v>0.16</v>
      </c>
    </row>
    <row r="19" spans="1:3" x14ac:dyDescent="0.3">
      <c r="A19">
        <v>158.5</v>
      </c>
      <c r="B19">
        <v>0.02</v>
      </c>
      <c r="C19">
        <v>0.16</v>
      </c>
    </row>
    <row r="20" spans="1:3" x14ac:dyDescent="0.3">
      <c r="A20">
        <v>193.97</v>
      </c>
      <c r="B20">
        <v>0.01</v>
      </c>
      <c r="C20">
        <v>0.15</v>
      </c>
    </row>
    <row r="21" spans="1:3" x14ac:dyDescent="0.3">
      <c r="A21">
        <v>154.82</v>
      </c>
      <c r="B21">
        <v>0.08</v>
      </c>
      <c r="C21">
        <v>0.16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3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34.479999999999997</v>
      </c>
      <c r="B2">
        <v>0.01</v>
      </c>
      <c r="C2">
        <v>0.13</v>
      </c>
    </row>
    <row r="3" spans="1:3" x14ac:dyDescent="0.3">
      <c r="A3">
        <v>32.82</v>
      </c>
      <c r="B3">
        <v>0.41</v>
      </c>
      <c r="C3">
        <v>0.27</v>
      </c>
    </row>
    <row r="4" spans="1:3" x14ac:dyDescent="0.3">
      <c r="A4">
        <v>57.34</v>
      </c>
      <c r="B4">
        <v>0.01</v>
      </c>
      <c r="C4">
        <v>0.16</v>
      </c>
    </row>
    <row r="5" spans="1:3" x14ac:dyDescent="0.3">
      <c r="A5">
        <v>27.02</v>
      </c>
      <c r="B5">
        <v>0.23</v>
      </c>
      <c r="C5">
        <v>0.21</v>
      </c>
    </row>
    <row r="6" spans="1:3" x14ac:dyDescent="0.3">
      <c r="A6">
        <v>63.94</v>
      </c>
      <c r="B6">
        <v>0.03</v>
      </c>
      <c r="C6">
        <v>0.16</v>
      </c>
    </row>
    <row r="7" spans="1:3" x14ac:dyDescent="0.3">
      <c r="A7">
        <v>30.52</v>
      </c>
      <c r="B7">
        <v>0.47</v>
      </c>
      <c r="C7">
        <v>0.33</v>
      </c>
    </row>
    <row r="8" spans="1:3" x14ac:dyDescent="0.3">
      <c r="A8">
        <v>29.84</v>
      </c>
      <c r="B8">
        <v>0.27</v>
      </c>
      <c r="C8">
        <v>0.28000000000000003</v>
      </c>
    </row>
    <row r="9" spans="1:3" x14ac:dyDescent="0.3">
      <c r="A9">
        <v>21.16</v>
      </c>
      <c r="B9">
        <v>0.04</v>
      </c>
      <c r="C9">
        <v>0.18</v>
      </c>
    </row>
    <row r="10" spans="1:3" x14ac:dyDescent="0.3">
      <c r="A10">
        <v>34.200000000000003</v>
      </c>
      <c r="B10">
        <v>0.33</v>
      </c>
      <c r="C10">
        <v>0.24</v>
      </c>
    </row>
    <row r="11" spans="1:3" x14ac:dyDescent="0.3">
      <c r="A11">
        <v>30.73</v>
      </c>
      <c r="B11">
        <v>0.02</v>
      </c>
      <c r="C11">
        <v>0.15</v>
      </c>
    </row>
    <row r="12" spans="1:3" x14ac:dyDescent="0.3">
      <c r="A12">
        <v>78.680000000000007</v>
      </c>
      <c r="B12">
        <v>0.25</v>
      </c>
      <c r="C12">
        <v>0.22</v>
      </c>
    </row>
    <row r="13" spans="1:3" x14ac:dyDescent="0.3">
      <c r="A13">
        <v>35.26</v>
      </c>
      <c r="B13">
        <v>0.55000000000000004</v>
      </c>
      <c r="C13">
        <v>0.37</v>
      </c>
    </row>
    <row r="14" spans="1:3" x14ac:dyDescent="0.3">
      <c r="A14">
        <v>39.85</v>
      </c>
      <c r="B14">
        <v>0.02</v>
      </c>
      <c r="C14">
        <v>0.19</v>
      </c>
    </row>
    <row r="15" spans="1:3" x14ac:dyDescent="0.3">
      <c r="A15">
        <v>73.459999999999994</v>
      </c>
      <c r="B15">
        <v>0.02</v>
      </c>
      <c r="C15">
        <v>0.15</v>
      </c>
    </row>
    <row r="16" spans="1:3" x14ac:dyDescent="0.3">
      <c r="A16">
        <v>32.14</v>
      </c>
      <c r="B16">
        <v>0.31</v>
      </c>
      <c r="C16">
        <v>0.25</v>
      </c>
    </row>
    <row r="17" spans="1:3" x14ac:dyDescent="0.3">
      <c r="A17">
        <v>53.12</v>
      </c>
      <c r="B17">
        <v>0.02</v>
      </c>
      <c r="C17">
        <v>0.17</v>
      </c>
    </row>
    <row r="18" spans="1:3" x14ac:dyDescent="0.3">
      <c r="A18">
        <v>23.82</v>
      </c>
      <c r="B18">
        <v>0.02</v>
      </c>
      <c r="C18">
        <v>0.15</v>
      </c>
    </row>
    <row r="19" spans="1:3" x14ac:dyDescent="0.3">
      <c r="A19">
        <v>29.02</v>
      </c>
      <c r="B19">
        <v>0.08</v>
      </c>
      <c r="C19">
        <v>0.18</v>
      </c>
    </row>
    <row r="20" spans="1:3" x14ac:dyDescent="0.3">
      <c r="A20">
        <v>14.6</v>
      </c>
      <c r="B20">
        <v>0</v>
      </c>
      <c r="C20">
        <v>0.12</v>
      </c>
    </row>
    <row r="21" spans="1:3" x14ac:dyDescent="0.3">
      <c r="A21">
        <v>29.54</v>
      </c>
      <c r="B21">
        <v>0.34</v>
      </c>
      <c r="C21">
        <v>0.27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G21"/>
  <sheetViews>
    <sheetView workbookViewId="0">
      <selection activeCell="G2" sqref="G2"/>
    </sheetView>
  </sheetViews>
  <sheetFormatPr defaultRowHeight="14.4" x14ac:dyDescent="0.3"/>
  <cols>
    <col min="7" max="7" width="12" bestFit="1" customWidth="1"/>
  </cols>
  <sheetData>
    <row r="1" spans="1:7" x14ac:dyDescent="0.3">
      <c r="A1" t="s">
        <v>0</v>
      </c>
      <c r="B1" t="s">
        <v>1</v>
      </c>
      <c r="C1" t="s">
        <v>2</v>
      </c>
      <c r="F1" t="s">
        <v>31</v>
      </c>
      <c r="G1" t="s">
        <v>35</v>
      </c>
    </row>
    <row r="2" spans="1:7" x14ac:dyDescent="0.3">
      <c r="A2">
        <v>457.72</v>
      </c>
      <c r="B2">
        <v>0.51</v>
      </c>
      <c r="C2">
        <v>0.3</v>
      </c>
      <c r="F2">
        <f>_xlfn.T.TEST(B2:B21,control!B2:B21,1,3)</f>
        <v>0.12300664444858223</v>
      </c>
      <c r="G2" s="3">
        <f>_xlfn.T.TEST(B2:B21,'grid-state'!B2:B21,1,3)</f>
        <v>7.4064802250855638E-6</v>
      </c>
    </row>
    <row r="3" spans="1:7" x14ac:dyDescent="0.3">
      <c r="A3">
        <v>345.33</v>
      </c>
      <c r="B3">
        <v>0.56999999999999995</v>
      </c>
      <c r="C3">
        <v>0.33</v>
      </c>
    </row>
    <row r="4" spans="1:7" x14ac:dyDescent="0.3">
      <c r="A4">
        <v>239.34</v>
      </c>
      <c r="B4">
        <v>0.14000000000000001</v>
      </c>
      <c r="C4">
        <v>0.19</v>
      </c>
    </row>
    <row r="5" spans="1:7" x14ac:dyDescent="0.3">
      <c r="A5">
        <v>389.88</v>
      </c>
      <c r="B5">
        <v>0.48</v>
      </c>
      <c r="C5">
        <v>0.3</v>
      </c>
    </row>
    <row r="6" spans="1:7" x14ac:dyDescent="0.3">
      <c r="A6">
        <v>406.58</v>
      </c>
      <c r="B6">
        <v>0.46</v>
      </c>
      <c r="C6">
        <v>0.28000000000000003</v>
      </c>
    </row>
    <row r="7" spans="1:7" x14ac:dyDescent="0.3">
      <c r="A7">
        <v>360.22</v>
      </c>
      <c r="B7">
        <v>0.53</v>
      </c>
      <c r="C7">
        <v>0.32</v>
      </c>
    </row>
    <row r="8" spans="1:7" x14ac:dyDescent="0.3">
      <c r="A8">
        <v>283.69</v>
      </c>
      <c r="B8">
        <v>0.77</v>
      </c>
      <c r="C8">
        <v>0.41</v>
      </c>
    </row>
    <row r="9" spans="1:7" x14ac:dyDescent="0.3">
      <c r="A9">
        <v>282.01</v>
      </c>
      <c r="B9">
        <v>0.87</v>
      </c>
      <c r="C9">
        <v>0.45</v>
      </c>
    </row>
    <row r="10" spans="1:7" x14ac:dyDescent="0.3">
      <c r="A10">
        <v>432.66</v>
      </c>
      <c r="B10">
        <v>0.19</v>
      </c>
      <c r="C10">
        <v>0.22</v>
      </c>
    </row>
    <row r="11" spans="1:7" x14ac:dyDescent="0.3">
      <c r="A11">
        <v>363.54</v>
      </c>
      <c r="B11">
        <v>0.66</v>
      </c>
      <c r="C11">
        <v>0.37</v>
      </c>
    </row>
    <row r="12" spans="1:7" x14ac:dyDescent="0.3">
      <c r="A12">
        <v>297.54000000000002</v>
      </c>
      <c r="B12">
        <v>0.51</v>
      </c>
      <c r="C12">
        <v>0.31</v>
      </c>
    </row>
    <row r="13" spans="1:7" x14ac:dyDescent="0.3">
      <c r="A13">
        <v>304.35000000000002</v>
      </c>
      <c r="B13">
        <v>0.49</v>
      </c>
      <c r="C13">
        <v>0.28999999999999998</v>
      </c>
    </row>
    <row r="14" spans="1:7" x14ac:dyDescent="0.3">
      <c r="A14">
        <v>345.05</v>
      </c>
      <c r="B14">
        <v>0.37</v>
      </c>
      <c r="C14">
        <v>0.25</v>
      </c>
    </row>
    <row r="15" spans="1:7" x14ac:dyDescent="0.3">
      <c r="A15">
        <v>243.88</v>
      </c>
      <c r="B15">
        <v>0.13</v>
      </c>
      <c r="C15">
        <v>0.19</v>
      </c>
    </row>
    <row r="16" spans="1:7" x14ac:dyDescent="0.3">
      <c r="A16">
        <v>411.58</v>
      </c>
      <c r="B16">
        <v>0.55000000000000004</v>
      </c>
      <c r="C16">
        <v>0.33</v>
      </c>
    </row>
    <row r="17" spans="1:3" x14ac:dyDescent="0.3">
      <c r="A17">
        <v>346.99</v>
      </c>
      <c r="B17">
        <v>0.51</v>
      </c>
      <c r="C17">
        <v>0.31</v>
      </c>
    </row>
    <row r="18" spans="1:3" x14ac:dyDescent="0.3">
      <c r="A18">
        <v>370.61</v>
      </c>
      <c r="B18">
        <v>0.38</v>
      </c>
      <c r="C18">
        <v>0.25</v>
      </c>
    </row>
    <row r="19" spans="1:3" x14ac:dyDescent="0.3">
      <c r="A19">
        <v>363.03</v>
      </c>
      <c r="B19">
        <v>0.23</v>
      </c>
      <c r="C19">
        <v>0.2</v>
      </c>
    </row>
    <row r="20" spans="1:3" x14ac:dyDescent="0.3">
      <c r="A20">
        <v>190.11</v>
      </c>
      <c r="B20">
        <v>0.11</v>
      </c>
      <c r="C20">
        <v>0.18</v>
      </c>
    </row>
    <row r="21" spans="1:3" x14ac:dyDescent="0.3">
      <c r="A21">
        <v>370.07</v>
      </c>
      <c r="B21">
        <v>0.3</v>
      </c>
      <c r="C21">
        <v>0.21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54.33</v>
      </c>
      <c r="B2">
        <v>0.09</v>
      </c>
      <c r="C2">
        <v>0.24</v>
      </c>
    </row>
    <row r="3" spans="1:3" x14ac:dyDescent="0.3">
      <c r="A3">
        <v>37.99</v>
      </c>
      <c r="B3">
        <v>0.25</v>
      </c>
      <c r="C3">
        <v>0.31</v>
      </c>
    </row>
    <row r="4" spans="1:3" x14ac:dyDescent="0.3">
      <c r="A4">
        <v>55.89</v>
      </c>
      <c r="B4">
        <v>0.04</v>
      </c>
      <c r="C4">
        <v>0.18</v>
      </c>
    </row>
    <row r="5" spans="1:3" x14ac:dyDescent="0.3">
      <c r="A5">
        <v>40.82</v>
      </c>
      <c r="B5">
        <v>0.56999999999999995</v>
      </c>
      <c r="C5">
        <v>0.35</v>
      </c>
    </row>
    <row r="6" spans="1:3" x14ac:dyDescent="0.3">
      <c r="A6">
        <v>52.49</v>
      </c>
      <c r="B6">
        <v>0.01</v>
      </c>
      <c r="C6">
        <v>0.13</v>
      </c>
    </row>
    <row r="7" spans="1:3" x14ac:dyDescent="0.3">
      <c r="A7">
        <v>44.09</v>
      </c>
      <c r="B7">
        <v>0.25</v>
      </c>
      <c r="C7">
        <v>0.23</v>
      </c>
    </row>
    <row r="8" spans="1:3" x14ac:dyDescent="0.3">
      <c r="A8">
        <v>38.06</v>
      </c>
      <c r="B8">
        <v>0.01</v>
      </c>
      <c r="C8">
        <v>0.18</v>
      </c>
    </row>
    <row r="9" spans="1:3" x14ac:dyDescent="0.3">
      <c r="A9">
        <v>39.090000000000003</v>
      </c>
      <c r="B9">
        <v>0.89</v>
      </c>
      <c r="C9">
        <v>0.46</v>
      </c>
    </row>
    <row r="10" spans="1:3" x14ac:dyDescent="0.3">
      <c r="A10">
        <v>53.11</v>
      </c>
      <c r="B10">
        <v>0.02</v>
      </c>
      <c r="C10">
        <v>0.17</v>
      </c>
    </row>
    <row r="11" spans="1:3" x14ac:dyDescent="0.3">
      <c r="A11">
        <v>40.36</v>
      </c>
      <c r="B11">
        <v>0.32</v>
      </c>
      <c r="C11">
        <v>0.36</v>
      </c>
    </row>
    <row r="12" spans="1:3" x14ac:dyDescent="0.3">
      <c r="A12">
        <v>51.18</v>
      </c>
      <c r="B12">
        <v>0.11</v>
      </c>
      <c r="C12">
        <v>0.21</v>
      </c>
    </row>
    <row r="13" spans="1:3" x14ac:dyDescent="0.3">
      <c r="A13">
        <v>32.630000000000003</v>
      </c>
      <c r="B13">
        <v>0.02</v>
      </c>
      <c r="C13">
        <v>0.16</v>
      </c>
    </row>
    <row r="14" spans="1:3" x14ac:dyDescent="0.3">
      <c r="A14">
        <v>38.450000000000003</v>
      </c>
      <c r="B14">
        <v>0.44</v>
      </c>
      <c r="C14">
        <v>0.31</v>
      </c>
    </row>
    <row r="15" spans="1:3" x14ac:dyDescent="0.3">
      <c r="A15">
        <v>50.94</v>
      </c>
      <c r="B15">
        <v>0.02</v>
      </c>
      <c r="C15">
        <v>0.15</v>
      </c>
    </row>
    <row r="16" spans="1:3" x14ac:dyDescent="0.3">
      <c r="A16">
        <v>36.22</v>
      </c>
      <c r="B16">
        <v>0.39</v>
      </c>
      <c r="C16">
        <v>0.28999999999999998</v>
      </c>
    </row>
    <row r="17" spans="1:3" x14ac:dyDescent="0.3">
      <c r="A17">
        <v>44.84</v>
      </c>
      <c r="B17">
        <v>0.22</v>
      </c>
      <c r="C17">
        <v>0.23</v>
      </c>
    </row>
    <row r="18" spans="1:3" x14ac:dyDescent="0.3">
      <c r="A18">
        <v>49.57</v>
      </c>
      <c r="B18">
        <v>0.36</v>
      </c>
      <c r="C18">
        <v>0.28000000000000003</v>
      </c>
    </row>
    <row r="19" spans="1:3" x14ac:dyDescent="0.3">
      <c r="A19">
        <v>38.630000000000003</v>
      </c>
      <c r="B19">
        <v>0.02</v>
      </c>
      <c r="C19">
        <v>0.2</v>
      </c>
    </row>
    <row r="20" spans="1:3" x14ac:dyDescent="0.3">
      <c r="A20">
        <v>43.45</v>
      </c>
      <c r="B20">
        <v>0.14000000000000001</v>
      </c>
      <c r="C20">
        <v>0.2</v>
      </c>
    </row>
    <row r="21" spans="1:3" x14ac:dyDescent="0.3">
      <c r="A21">
        <v>43.62</v>
      </c>
      <c r="B21">
        <v>0.19</v>
      </c>
      <c r="C21">
        <v>0.22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30.96</v>
      </c>
      <c r="B2">
        <v>0.22</v>
      </c>
      <c r="C2">
        <v>0.23</v>
      </c>
    </row>
    <row r="3" spans="1:3" x14ac:dyDescent="0.3">
      <c r="A3">
        <v>42.87</v>
      </c>
      <c r="B3">
        <v>0.35</v>
      </c>
      <c r="C3">
        <v>0.27</v>
      </c>
    </row>
    <row r="4" spans="1:3" x14ac:dyDescent="0.3">
      <c r="A4">
        <v>70.09</v>
      </c>
      <c r="B4">
        <v>0.23</v>
      </c>
      <c r="C4">
        <v>0.23</v>
      </c>
    </row>
    <row r="5" spans="1:3" x14ac:dyDescent="0.3">
      <c r="A5">
        <v>54.89</v>
      </c>
      <c r="B5">
        <v>0.18</v>
      </c>
      <c r="C5">
        <v>0.21</v>
      </c>
    </row>
    <row r="6" spans="1:3" x14ac:dyDescent="0.3">
      <c r="A6">
        <v>60.77</v>
      </c>
      <c r="B6">
        <v>0.23</v>
      </c>
      <c r="C6">
        <v>0.23</v>
      </c>
    </row>
    <row r="7" spans="1:3" x14ac:dyDescent="0.3">
      <c r="A7">
        <v>55.77</v>
      </c>
      <c r="B7">
        <v>0.23</v>
      </c>
      <c r="C7">
        <v>0.23</v>
      </c>
    </row>
    <row r="8" spans="1:3" x14ac:dyDescent="0.3">
      <c r="A8">
        <v>65.41</v>
      </c>
      <c r="B8">
        <v>0.31</v>
      </c>
      <c r="C8">
        <v>0.25</v>
      </c>
    </row>
    <row r="9" spans="1:3" x14ac:dyDescent="0.3">
      <c r="A9">
        <v>64.290000000000006</v>
      </c>
      <c r="B9">
        <v>0.19</v>
      </c>
      <c r="C9">
        <v>0.23</v>
      </c>
    </row>
    <row r="10" spans="1:3" x14ac:dyDescent="0.3">
      <c r="A10">
        <v>68.27</v>
      </c>
      <c r="B10">
        <v>0.14000000000000001</v>
      </c>
      <c r="C10">
        <v>0.21</v>
      </c>
    </row>
    <row r="11" spans="1:3" x14ac:dyDescent="0.3">
      <c r="A11">
        <v>57.53</v>
      </c>
      <c r="B11">
        <v>0.35</v>
      </c>
      <c r="C11">
        <v>0.27</v>
      </c>
    </row>
    <row r="12" spans="1:3" x14ac:dyDescent="0.3">
      <c r="A12">
        <v>23.61</v>
      </c>
      <c r="B12">
        <v>0.01</v>
      </c>
      <c r="C12">
        <v>0.13</v>
      </c>
    </row>
    <row r="13" spans="1:3" x14ac:dyDescent="0.3">
      <c r="A13">
        <v>21.15</v>
      </c>
      <c r="B13">
        <v>0.31</v>
      </c>
      <c r="C13">
        <v>0.25</v>
      </c>
    </row>
    <row r="14" spans="1:3" x14ac:dyDescent="0.3">
      <c r="A14">
        <v>21.29</v>
      </c>
      <c r="B14">
        <v>0.01</v>
      </c>
      <c r="C14">
        <v>0.15</v>
      </c>
    </row>
    <row r="15" spans="1:3" x14ac:dyDescent="0.3">
      <c r="A15">
        <v>22.77</v>
      </c>
      <c r="B15">
        <v>0.25</v>
      </c>
      <c r="C15">
        <v>0.25</v>
      </c>
    </row>
    <row r="16" spans="1:3" x14ac:dyDescent="0.3">
      <c r="A16">
        <v>23.67</v>
      </c>
      <c r="B16">
        <v>0.23</v>
      </c>
      <c r="C16">
        <v>0.27</v>
      </c>
    </row>
    <row r="17" spans="1:3" x14ac:dyDescent="0.3">
      <c r="A17">
        <v>21.68</v>
      </c>
      <c r="B17">
        <v>0.11</v>
      </c>
      <c r="C17">
        <v>0.18</v>
      </c>
    </row>
    <row r="18" spans="1:3" x14ac:dyDescent="0.3">
      <c r="A18">
        <v>21.26</v>
      </c>
      <c r="B18">
        <v>0.04</v>
      </c>
      <c r="C18">
        <v>0.18</v>
      </c>
    </row>
    <row r="19" spans="1:3" x14ac:dyDescent="0.3">
      <c r="A19">
        <v>21.4</v>
      </c>
      <c r="B19">
        <v>0.11</v>
      </c>
      <c r="C19">
        <v>0.2</v>
      </c>
    </row>
    <row r="20" spans="1:3" x14ac:dyDescent="0.3">
      <c r="A20">
        <v>23.82</v>
      </c>
      <c r="B20">
        <v>0.18</v>
      </c>
      <c r="C20">
        <v>0.22</v>
      </c>
    </row>
    <row r="21" spans="1:3" x14ac:dyDescent="0.3">
      <c r="A21">
        <v>21.02</v>
      </c>
      <c r="B21">
        <v>0.13</v>
      </c>
      <c r="C21">
        <v>0.18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62.89</v>
      </c>
      <c r="B2">
        <v>0.01</v>
      </c>
      <c r="C2">
        <v>0.13</v>
      </c>
    </row>
    <row r="3" spans="1:3" x14ac:dyDescent="0.3">
      <c r="A3">
        <v>60.06</v>
      </c>
      <c r="B3">
        <v>0.04</v>
      </c>
      <c r="C3">
        <v>0.15</v>
      </c>
    </row>
    <row r="4" spans="1:3" x14ac:dyDescent="0.3">
      <c r="A4">
        <v>77.25</v>
      </c>
      <c r="B4">
        <v>0.01</v>
      </c>
      <c r="C4">
        <v>0.14000000000000001</v>
      </c>
    </row>
    <row r="5" spans="1:3" x14ac:dyDescent="0.3">
      <c r="A5">
        <v>66.239999999999995</v>
      </c>
      <c r="B5">
        <v>0.01</v>
      </c>
      <c r="C5">
        <v>0.12</v>
      </c>
    </row>
    <row r="6" spans="1:3" x14ac:dyDescent="0.3">
      <c r="A6">
        <v>101.07</v>
      </c>
      <c r="B6">
        <v>0.02</v>
      </c>
      <c r="C6">
        <v>0.15</v>
      </c>
    </row>
    <row r="7" spans="1:3" x14ac:dyDescent="0.3">
      <c r="A7">
        <v>71.48</v>
      </c>
      <c r="B7">
        <v>0.12</v>
      </c>
      <c r="C7">
        <v>0.18</v>
      </c>
    </row>
    <row r="8" spans="1:3" x14ac:dyDescent="0.3">
      <c r="A8">
        <v>79.150000000000006</v>
      </c>
      <c r="B8">
        <v>0.01</v>
      </c>
      <c r="C8">
        <v>0.14000000000000001</v>
      </c>
    </row>
    <row r="9" spans="1:3" x14ac:dyDescent="0.3">
      <c r="A9">
        <v>78.52</v>
      </c>
      <c r="B9">
        <v>0.01</v>
      </c>
      <c r="C9">
        <v>0.19</v>
      </c>
    </row>
    <row r="10" spans="1:3" x14ac:dyDescent="0.3">
      <c r="A10">
        <v>70.75</v>
      </c>
      <c r="B10">
        <v>0</v>
      </c>
      <c r="C10">
        <v>0.16</v>
      </c>
    </row>
    <row r="11" spans="1:3" x14ac:dyDescent="0.3">
      <c r="A11">
        <v>90.6</v>
      </c>
      <c r="B11">
        <v>0.12</v>
      </c>
      <c r="C11">
        <v>0.17</v>
      </c>
    </row>
    <row r="12" spans="1:3" x14ac:dyDescent="0.3">
      <c r="A12">
        <v>75.47</v>
      </c>
      <c r="B12">
        <v>0.01</v>
      </c>
      <c r="C12">
        <v>0.13</v>
      </c>
    </row>
    <row r="13" spans="1:3" x14ac:dyDescent="0.3">
      <c r="A13">
        <v>79.680000000000007</v>
      </c>
      <c r="B13">
        <v>0.01</v>
      </c>
      <c r="C13">
        <v>0.14000000000000001</v>
      </c>
    </row>
    <row r="14" spans="1:3" x14ac:dyDescent="0.3">
      <c r="A14">
        <v>88.94</v>
      </c>
      <c r="B14">
        <v>0.01</v>
      </c>
      <c r="C14">
        <v>0.15</v>
      </c>
    </row>
    <row r="15" spans="1:3" x14ac:dyDescent="0.3">
      <c r="A15">
        <v>84.59</v>
      </c>
      <c r="B15">
        <v>0.01</v>
      </c>
      <c r="C15">
        <v>0.13</v>
      </c>
    </row>
    <row r="16" spans="1:3" x14ac:dyDescent="0.3">
      <c r="A16">
        <v>79.28</v>
      </c>
      <c r="B16">
        <v>0.01</v>
      </c>
      <c r="C16">
        <v>0.12</v>
      </c>
    </row>
    <row r="17" spans="1:3" x14ac:dyDescent="0.3">
      <c r="A17">
        <v>81.36</v>
      </c>
      <c r="B17">
        <v>0.01</v>
      </c>
      <c r="C17">
        <v>0.13</v>
      </c>
    </row>
    <row r="18" spans="1:3" x14ac:dyDescent="0.3">
      <c r="A18">
        <v>108.42</v>
      </c>
      <c r="B18">
        <v>0.14000000000000001</v>
      </c>
      <c r="C18">
        <v>0.2</v>
      </c>
    </row>
    <row r="19" spans="1:3" x14ac:dyDescent="0.3">
      <c r="A19">
        <v>104.4</v>
      </c>
      <c r="B19">
        <v>0.01</v>
      </c>
      <c r="C19">
        <v>0.16</v>
      </c>
    </row>
    <row r="20" spans="1:3" x14ac:dyDescent="0.3">
      <c r="A20">
        <v>95.63</v>
      </c>
      <c r="B20">
        <v>0</v>
      </c>
      <c r="C20">
        <v>0.12</v>
      </c>
    </row>
    <row r="21" spans="1:3" x14ac:dyDescent="0.3">
      <c r="A21">
        <v>106.22</v>
      </c>
      <c r="B21">
        <v>0</v>
      </c>
      <c r="C21">
        <v>0.13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8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48.26</v>
      </c>
      <c r="B2">
        <v>0</v>
      </c>
      <c r="C2">
        <v>0.12</v>
      </c>
    </row>
    <row r="3" spans="1:3" x14ac:dyDescent="0.3">
      <c r="A3">
        <v>48.2</v>
      </c>
      <c r="B3">
        <v>0.01</v>
      </c>
      <c r="C3">
        <v>0.15</v>
      </c>
    </row>
    <row r="4" spans="1:3" x14ac:dyDescent="0.3">
      <c r="A4">
        <v>43.26</v>
      </c>
      <c r="B4">
        <v>0.03</v>
      </c>
      <c r="C4">
        <v>0.13</v>
      </c>
    </row>
    <row r="5" spans="1:3" x14ac:dyDescent="0.3">
      <c r="A5">
        <v>39.369999999999997</v>
      </c>
      <c r="B5">
        <v>0.02</v>
      </c>
      <c r="C5">
        <v>0.12</v>
      </c>
    </row>
    <row r="6" spans="1:3" x14ac:dyDescent="0.3">
      <c r="A6">
        <v>65.180000000000007</v>
      </c>
      <c r="B6">
        <v>0</v>
      </c>
      <c r="C6">
        <v>0.11</v>
      </c>
    </row>
    <row r="7" spans="1:3" x14ac:dyDescent="0.3">
      <c r="A7">
        <v>79.45</v>
      </c>
      <c r="B7">
        <v>0.02</v>
      </c>
      <c r="C7">
        <v>0.14000000000000001</v>
      </c>
    </row>
    <row r="8" spans="1:3" x14ac:dyDescent="0.3">
      <c r="A8">
        <v>66.400000000000006</v>
      </c>
      <c r="B8">
        <v>7.0000000000000007E-2</v>
      </c>
      <c r="C8">
        <v>0.16</v>
      </c>
    </row>
    <row r="9" spans="1:3" x14ac:dyDescent="0.3">
      <c r="A9">
        <v>68.3</v>
      </c>
      <c r="B9">
        <v>0.01</v>
      </c>
      <c r="C9">
        <v>0.15</v>
      </c>
    </row>
    <row r="10" spans="1:3" x14ac:dyDescent="0.3">
      <c r="A10">
        <v>48.84</v>
      </c>
      <c r="B10">
        <v>0.01</v>
      </c>
      <c r="C10">
        <v>0.13</v>
      </c>
    </row>
    <row r="11" spans="1:3" x14ac:dyDescent="0.3">
      <c r="A11">
        <v>56.74</v>
      </c>
      <c r="B11">
        <v>0.02</v>
      </c>
      <c r="C11">
        <v>0.13</v>
      </c>
    </row>
    <row r="12" spans="1:3" x14ac:dyDescent="0.3">
      <c r="A12">
        <v>56.2</v>
      </c>
      <c r="B12">
        <v>0</v>
      </c>
      <c r="C12">
        <v>0.1</v>
      </c>
    </row>
    <row r="13" spans="1:3" x14ac:dyDescent="0.3">
      <c r="A13">
        <v>62.03</v>
      </c>
      <c r="B13">
        <v>0</v>
      </c>
      <c r="C13">
        <v>0.13</v>
      </c>
    </row>
    <row r="14" spans="1:3" x14ac:dyDescent="0.3">
      <c r="A14">
        <v>68.819999999999993</v>
      </c>
      <c r="B14">
        <v>0.01</v>
      </c>
      <c r="C14">
        <v>0.11</v>
      </c>
    </row>
    <row r="15" spans="1:3" x14ac:dyDescent="0.3">
      <c r="A15">
        <v>65.16</v>
      </c>
      <c r="B15">
        <v>0.02</v>
      </c>
      <c r="C15">
        <v>0.16</v>
      </c>
    </row>
    <row r="16" spans="1:3" x14ac:dyDescent="0.3">
      <c r="A16">
        <v>80</v>
      </c>
      <c r="B16">
        <v>0.01</v>
      </c>
      <c r="C16">
        <v>0.16</v>
      </c>
    </row>
    <row r="17" spans="1:3" x14ac:dyDescent="0.3">
      <c r="A17">
        <v>81.69</v>
      </c>
      <c r="B17">
        <v>0</v>
      </c>
      <c r="C17">
        <v>0.12</v>
      </c>
    </row>
    <row r="18" spans="1:3" x14ac:dyDescent="0.3">
      <c r="A18">
        <v>96.03</v>
      </c>
      <c r="B18">
        <v>0.01</v>
      </c>
      <c r="C18">
        <v>0.11</v>
      </c>
    </row>
    <row r="19" spans="1:3" x14ac:dyDescent="0.3">
      <c r="A19">
        <v>71.94</v>
      </c>
      <c r="B19">
        <v>0</v>
      </c>
      <c r="C19">
        <v>0.12</v>
      </c>
    </row>
    <row r="20" spans="1:3" x14ac:dyDescent="0.3">
      <c r="A20">
        <v>99.74</v>
      </c>
      <c r="B20">
        <v>0</v>
      </c>
      <c r="C20">
        <v>0.11</v>
      </c>
    </row>
    <row r="21" spans="1:3" x14ac:dyDescent="0.3">
      <c r="A21">
        <v>86.81</v>
      </c>
      <c r="B21">
        <v>0.02</v>
      </c>
      <c r="C21">
        <v>0.18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375.11</v>
      </c>
      <c r="B2">
        <v>0.03</v>
      </c>
      <c r="C2">
        <v>0.16</v>
      </c>
    </row>
    <row r="3" spans="1:3" x14ac:dyDescent="0.3">
      <c r="A3">
        <v>293.10000000000002</v>
      </c>
      <c r="B3">
        <v>0.21</v>
      </c>
      <c r="C3">
        <v>0.21</v>
      </c>
    </row>
    <row r="4" spans="1:3" x14ac:dyDescent="0.3">
      <c r="A4">
        <v>437.24</v>
      </c>
      <c r="B4">
        <v>0.14000000000000001</v>
      </c>
      <c r="C4">
        <v>0.19</v>
      </c>
    </row>
    <row r="5" spans="1:3" x14ac:dyDescent="0.3">
      <c r="A5">
        <v>367.08</v>
      </c>
      <c r="B5">
        <v>0.14000000000000001</v>
      </c>
      <c r="C5">
        <v>0.23</v>
      </c>
    </row>
    <row r="6" spans="1:3" x14ac:dyDescent="0.3">
      <c r="A6">
        <v>292.18</v>
      </c>
      <c r="B6">
        <v>7.0000000000000007E-2</v>
      </c>
      <c r="C6">
        <v>0.2</v>
      </c>
    </row>
    <row r="7" spans="1:3" x14ac:dyDescent="0.3">
      <c r="A7">
        <v>281.8</v>
      </c>
      <c r="B7">
        <v>0.33</v>
      </c>
      <c r="C7">
        <v>0.25</v>
      </c>
    </row>
    <row r="8" spans="1:3" x14ac:dyDescent="0.3">
      <c r="A8">
        <v>317.02</v>
      </c>
      <c r="B8">
        <v>0.12</v>
      </c>
      <c r="C8">
        <v>0.17</v>
      </c>
    </row>
    <row r="9" spans="1:3" x14ac:dyDescent="0.3">
      <c r="A9">
        <v>162.61000000000001</v>
      </c>
      <c r="B9">
        <v>0.1</v>
      </c>
      <c r="C9">
        <v>0.18</v>
      </c>
    </row>
    <row r="10" spans="1:3" x14ac:dyDescent="0.3">
      <c r="A10">
        <v>240.81</v>
      </c>
      <c r="B10">
        <v>0.22</v>
      </c>
      <c r="C10">
        <v>0.21</v>
      </c>
    </row>
    <row r="11" spans="1:3" x14ac:dyDescent="0.3">
      <c r="A11">
        <v>255.14</v>
      </c>
      <c r="B11">
        <v>0.31</v>
      </c>
      <c r="C11">
        <v>0.24</v>
      </c>
    </row>
    <row r="12" spans="1:3" x14ac:dyDescent="0.3">
      <c r="A12">
        <v>251.36</v>
      </c>
      <c r="B12">
        <v>0.14000000000000001</v>
      </c>
      <c r="C12">
        <v>0.18</v>
      </c>
    </row>
    <row r="13" spans="1:3" x14ac:dyDescent="0.3">
      <c r="A13">
        <v>201.14</v>
      </c>
      <c r="B13">
        <v>0.19</v>
      </c>
      <c r="C13">
        <v>0.2</v>
      </c>
    </row>
    <row r="14" spans="1:3" x14ac:dyDescent="0.3">
      <c r="A14">
        <v>446.36</v>
      </c>
      <c r="B14">
        <v>7.0000000000000007E-2</v>
      </c>
      <c r="C14">
        <v>0.17</v>
      </c>
    </row>
    <row r="15" spans="1:3" x14ac:dyDescent="0.3">
      <c r="A15">
        <v>167.15</v>
      </c>
      <c r="B15">
        <v>0.18</v>
      </c>
      <c r="C15">
        <v>0.19</v>
      </c>
    </row>
    <row r="16" spans="1:3" x14ac:dyDescent="0.3">
      <c r="A16">
        <v>315.68</v>
      </c>
      <c r="B16">
        <v>0.02</v>
      </c>
      <c r="C16">
        <v>0.16</v>
      </c>
    </row>
    <row r="17" spans="1:3" x14ac:dyDescent="0.3">
      <c r="A17">
        <v>486.96</v>
      </c>
      <c r="B17">
        <v>0.19</v>
      </c>
      <c r="C17">
        <v>0.19</v>
      </c>
    </row>
    <row r="18" spans="1:3" x14ac:dyDescent="0.3">
      <c r="A18">
        <v>230.06</v>
      </c>
      <c r="B18">
        <v>0.23</v>
      </c>
      <c r="C18">
        <v>0.25</v>
      </c>
    </row>
    <row r="19" spans="1:3" x14ac:dyDescent="0.3">
      <c r="A19">
        <v>328.26</v>
      </c>
      <c r="B19">
        <v>0.27</v>
      </c>
      <c r="C19">
        <v>0.22</v>
      </c>
    </row>
    <row r="20" spans="1:3" x14ac:dyDescent="0.3">
      <c r="A20">
        <v>307.2</v>
      </c>
      <c r="B20">
        <v>0.48</v>
      </c>
      <c r="C20">
        <v>0.31</v>
      </c>
    </row>
    <row r="21" spans="1:3" x14ac:dyDescent="0.3">
      <c r="A21">
        <v>349.5</v>
      </c>
      <c r="B21">
        <v>0.14000000000000001</v>
      </c>
      <c r="C21">
        <v>0.22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F21"/>
  <sheetViews>
    <sheetView workbookViewId="0">
      <selection activeCell="F2" sqref="F2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F1" t="s">
        <v>31</v>
      </c>
    </row>
    <row r="2" spans="1:6" x14ac:dyDescent="0.3">
      <c r="A2">
        <v>350.5</v>
      </c>
      <c r="B2">
        <v>0.92</v>
      </c>
      <c r="C2">
        <v>0.47</v>
      </c>
      <c r="F2">
        <f>_xlfn.T.TEST(B2:B21,control!B2:B21,1,3)</f>
        <v>1.6031269778452901E-3</v>
      </c>
    </row>
    <row r="3" spans="1:6" x14ac:dyDescent="0.3">
      <c r="A3">
        <v>514.48</v>
      </c>
      <c r="B3">
        <v>0.4</v>
      </c>
      <c r="C3">
        <v>0.26</v>
      </c>
    </row>
    <row r="4" spans="1:6" x14ac:dyDescent="0.3">
      <c r="A4">
        <v>440.28</v>
      </c>
      <c r="B4">
        <v>0.49</v>
      </c>
      <c r="C4">
        <v>0.3</v>
      </c>
    </row>
    <row r="5" spans="1:6" x14ac:dyDescent="0.3">
      <c r="A5">
        <v>478.77</v>
      </c>
      <c r="B5">
        <v>0.93</v>
      </c>
      <c r="C5">
        <v>0.47</v>
      </c>
    </row>
    <row r="6" spans="1:6" x14ac:dyDescent="0.3">
      <c r="A6">
        <v>331.82</v>
      </c>
      <c r="B6">
        <v>0.55000000000000004</v>
      </c>
      <c r="C6">
        <v>0.33</v>
      </c>
    </row>
    <row r="7" spans="1:6" x14ac:dyDescent="0.3">
      <c r="A7">
        <v>644.77</v>
      </c>
      <c r="B7">
        <v>0.63</v>
      </c>
      <c r="C7">
        <v>0.36</v>
      </c>
    </row>
    <row r="8" spans="1:6" x14ac:dyDescent="0.3">
      <c r="A8">
        <v>451.68</v>
      </c>
      <c r="B8">
        <v>0.45</v>
      </c>
      <c r="C8">
        <v>0.28000000000000003</v>
      </c>
    </row>
    <row r="9" spans="1:6" x14ac:dyDescent="0.3">
      <c r="A9">
        <v>678.07</v>
      </c>
      <c r="B9">
        <v>0.33</v>
      </c>
      <c r="C9">
        <v>0.24</v>
      </c>
    </row>
    <row r="10" spans="1:6" x14ac:dyDescent="0.3">
      <c r="A10">
        <v>511.68</v>
      </c>
      <c r="B10">
        <v>0.78</v>
      </c>
      <c r="C10">
        <v>0.42</v>
      </c>
    </row>
    <row r="11" spans="1:6" x14ac:dyDescent="0.3">
      <c r="A11">
        <v>352.9</v>
      </c>
      <c r="B11">
        <v>0.31</v>
      </c>
      <c r="C11">
        <v>0.26</v>
      </c>
    </row>
    <row r="12" spans="1:6" x14ac:dyDescent="0.3">
      <c r="A12">
        <v>491.14</v>
      </c>
      <c r="B12">
        <v>0.46</v>
      </c>
      <c r="C12">
        <v>0.37</v>
      </c>
    </row>
    <row r="13" spans="1:6" x14ac:dyDescent="0.3">
      <c r="A13">
        <v>515.09</v>
      </c>
      <c r="B13">
        <v>0.54</v>
      </c>
      <c r="C13">
        <v>0.32</v>
      </c>
    </row>
    <row r="14" spans="1:6" x14ac:dyDescent="0.3">
      <c r="A14">
        <v>571.55999999999995</v>
      </c>
      <c r="B14">
        <v>0.26</v>
      </c>
      <c r="C14">
        <v>0.23</v>
      </c>
    </row>
    <row r="15" spans="1:6" x14ac:dyDescent="0.3">
      <c r="A15">
        <v>577.37</v>
      </c>
      <c r="B15">
        <v>0.82</v>
      </c>
      <c r="C15">
        <v>0.43</v>
      </c>
    </row>
    <row r="16" spans="1:6" x14ac:dyDescent="0.3">
      <c r="A16">
        <v>475.03</v>
      </c>
      <c r="B16">
        <v>0.3</v>
      </c>
      <c r="C16">
        <v>0.23</v>
      </c>
    </row>
    <row r="17" spans="1:3" x14ac:dyDescent="0.3">
      <c r="A17">
        <v>419.87</v>
      </c>
      <c r="B17">
        <v>0.7</v>
      </c>
      <c r="C17">
        <v>0.38</v>
      </c>
    </row>
    <row r="18" spans="1:3" x14ac:dyDescent="0.3">
      <c r="A18">
        <v>655.25</v>
      </c>
      <c r="B18">
        <v>0.27</v>
      </c>
      <c r="C18">
        <v>0.27</v>
      </c>
    </row>
    <row r="19" spans="1:3" x14ac:dyDescent="0.3">
      <c r="A19">
        <v>554.59</v>
      </c>
      <c r="B19">
        <v>0.79</v>
      </c>
      <c r="C19">
        <v>0.42</v>
      </c>
    </row>
    <row r="20" spans="1:3" x14ac:dyDescent="0.3">
      <c r="A20">
        <v>534.22</v>
      </c>
      <c r="B20">
        <v>0.73</v>
      </c>
      <c r="C20">
        <v>0.4</v>
      </c>
    </row>
    <row r="21" spans="1:3" x14ac:dyDescent="0.3">
      <c r="A21">
        <v>486.91</v>
      </c>
      <c r="B21">
        <v>0.74</v>
      </c>
      <c r="C21">
        <v>0.4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1"/>
  <dimension ref="A1:G21"/>
  <sheetViews>
    <sheetView workbookViewId="0">
      <selection activeCell="G2" sqref="G2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F1" t="s">
        <v>29</v>
      </c>
      <c r="G1" t="s">
        <v>30</v>
      </c>
    </row>
    <row r="2" spans="1:7" x14ac:dyDescent="0.3">
      <c r="A2">
        <v>428.9</v>
      </c>
      <c r="B2">
        <v>0.33</v>
      </c>
      <c r="C2">
        <v>0.23</v>
      </c>
      <c r="F2">
        <f>_xlfn.T.TEST('very-high-iteration'!B2:B21,'small-batchsize'!B2:B21,1,3)</f>
        <v>1.9818442649754167E-4</v>
      </c>
      <c r="G2">
        <f>_xlfn.T.TEST(B2:B21,control!B2:B21,1,3)</f>
        <v>0.3696845723793209</v>
      </c>
    </row>
    <row r="3" spans="1:7" x14ac:dyDescent="0.3">
      <c r="A3">
        <v>360.02</v>
      </c>
      <c r="B3">
        <v>0.26</v>
      </c>
      <c r="C3">
        <v>0.22</v>
      </c>
    </row>
    <row r="4" spans="1:7" x14ac:dyDescent="0.3">
      <c r="A4">
        <v>429.03</v>
      </c>
      <c r="B4">
        <v>0.35</v>
      </c>
      <c r="C4">
        <v>0.24</v>
      </c>
    </row>
    <row r="5" spans="1:7" x14ac:dyDescent="0.3">
      <c r="A5">
        <v>289.56</v>
      </c>
      <c r="B5">
        <v>0.41</v>
      </c>
      <c r="C5">
        <v>0.26</v>
      </c>
    </row>
    <row r="6" spans="1:7" x14ac:dyDescent="0.3">
      <c r="A6">
        <v>394.87</v>
      </c>
      <c r="B6">
        <v>0.55000000000000004</v>
      </c>
      <c r="C6">
        <v>0.34</v>
      </c>
    </row>
    <row r="7" spans="1:7" x14ac:dyDescent="0.3">
      <c r="A7">
        <v>372.48</v>
      </c>
      <c r="B7">
        <v>0.56000000000000005</v>
      </c>
      <c r="C7">
        <v>0.32</v>
      </c>
    </row>
    <row r="8" spans="1:7" x14ac:dyDescent="0.3">
      <c r="A8">
        <v>352.43</v>
      </c>
      <c r="B8">
        <v>0.21</v>
      </c>
      <c r="C8">
        <v>0.19</v>
      </c>
    </row>
    <row r="9" spans="1:7" x14ac:dyDescent="0.3">
      <c r="A9">
        <v>530.88</v>
      </c>
      <c r="B9">
        <v>0.49</v>
      </c>
      <c r="C9">
        <v>0.3</v>
      </c>
    </row>
    <row r="10" spans="1:7" x14ac:dyDescent="0.3">
      <c r="A10">
        <v>393.15</v>
      </c>
      <c r="B10">
        <v>0.4</v>
      </c>
      <c r="C10">
        <v>0.27</v>
      </c>
    </row>
    <row r="11" spans="1:7" x14ac:dyDescent="0.3">
      <c r="A11">
        <v>550.78</v>
      </c>
      <c r="B11">
        <v>0.56999999999999995</v>
      </c>
      <c r="C11">
        <v>0.34</v>
      </c>
    </row>
    <row r="12" spans="1:7" x14ac:dyDescent="0.3">
      <c r="A12">
        <v>378.78</v>
      </c>
      <c r="B12">
        <v>0.61</v>
      </c>
      <c r="C12">
        <v>0.35</v>
      </c>
    </row>
    <row r="13" spans="1:7" x14ac:dyDescent="0.3">
      <c r="A13">
        <v>309.01</v>
      </c>
      <c r="B13">
        <v>0.76</v>
      </c>
      <c r="C13">
        <v>0.41</v>
      </c>
    </row>
    <row r="14" spans="1:7" x14ac:dyDescent="0.3">
      <c r="A14">
        <v>580.02</v>
      </c>
      <c r="B14">
        <v>0.25</v>
      </c>
      <c r="C14">
        <v>0.23</v>
      </c>
    </row>
    <row r="15" spans="1:7" x14ac:dyDescent="0.3">
      <c r="A15">
        <v>425.41</v>
      </c>
      <c r="B15">
        <v>0.63</v>
      </c>
      <c r="C15">
        <v>0.35</v>
      </c>
    </row>
    <row r="16" spans="1:7" x14ac:dyDescent="0.3">
      <c r="A16">
        <v>400.14</v>
      </c>
      <c r="B16">
        <v>0.16</v>
      </c>
      <c r="C16">
        <v>0.18</v>
      </c>
    </row>
    <row r="17" spans="1:3" x14ac:dyDescent="0.3">
      <c r="A17">
        <v>393.79</v>
      </c>
      <c r="B17">
        <v>0.09</v>
      </c>
      <c r="C17">
        <v>0.16</v>
      </c>
    </row>
    <row r="18" spans="1:3" x14ac:dyDescent="0.3">
      <c r="A18">
        <v>416.23</v>
      </c>
      <c r="B18">
        <v>0.27</v>
      </c>
      <c r="C18">
        <v>0.33</v>
      </c>
    </row>
    <row r="19" spans="1:3" x14ac:dyDescent="0.3">
      <c r="A19">
        <v>373.77</v>
      </c>
      <c r="B19">
        <v>0.41</v>
      </c>
      <c r="C19">
        <v>0.28000000000000003</v>
      </c>
    </row>
    <row r="20" spans="1:3" x14ac:dyDescent="0.3">
      <c r="A20">
        <v>356.24</v>
      </c>
      <c r="B20">
        <v>0.34</v>
      </c>
      <c r="C20">
        <v>0.25</v>
      </c>
    </row>
    <row r="21" spans="1:3" x14ac:dyDescent="0.3">
      <c r="A21">
        <v>385.24</v>
      </c>
      <c r="B21">
        <v>0.02</v>
      </c>
      <c r="C21">
        <v>0.14000000000000001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4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938.87</v>
      </c>
      <c r="B2">
        <v>0.45</v>
      </c>
      <c r="C2">
        <v>0.28000000000000003</v>
      </c>
    </row>
    <row r="3" spans="1:3" x14ac:dyDescent="0.3">
      <c r="A3">
        <v>1022.04</v>
      </c>
      <c r="B3">
        <v>0.44</v>
      </c>
      <c r="C3">
        <v>0.27</v>
      </c>
    </row>
    <row r="4" spans="1:3" x14ac:dyDescent="0.3">
      <c r="A4">
        <v>952.98</v>
      </c>
      <c r="B4">
        <v>0.31</v>
      </c>
      <c r="C4">
        <v>0.25</v>
      </c>
    </row>
    <row r="5" spans="1:3" x14ac:dyDescent="0.3">
      <c r="A5">
        <v>1056.7</v>
      </c>
      <c r="B5">
        <v>0.31</v>
      </c>
      <c r="C5">
        <v>0.25</v>
      </c>
    </row>
    <row r="6" spans="1:3" x14ac:dyDescent="0.3">
      <c r="A6">
        <v>915.33</v>
      </c>
      <c r="B6">
        <v>0.45</v>
      </c>
      <c r="C6">
        <v>0.28000000000000003</v>
      </c>
    </row>
    <row r="7" spans="1:3" x14ac:dyDescent="0.3">
      <c r="A7">
        <v>1702.35</v>
      </c>
      <c r="B7">
        <v>0.3</v>
      </c>
      <c r="C7">
        <v>0.25</v>
      </c>
    </row>
    <row r="8" spans="1:3" x14ac:dyDescent="0.3">
      <c r="A8">
        <v>900.67</v>
      </c>
      <c r="B8">
        <v>0.39</v>
      </c>
      <c r="C8">
        <v>0.26</v>
      </c>
    </row>
    <row r="9" spans="1:3" x14ac:dyDescent="0.3">
      <c r="A9">
        <v>912.26</v>
      </c>
      <c r="B9">
        <v>0.41</v>
      </c>
      <c r="C9">
        <v>0.28000000000000003</v>
      </c>
    </row>
    <row r="10" spans="1:3" x14ac:dyDescent="0.3">
      <c r="A10">
        <v>972.31</v>
      </c>
      <c r="B10">
        <v>0.28999999999999998</v>
      </c>
      <c r="C10">
        <v>0.25</v>
      </c>
    </row>
    <row r="11" spans="1:3" x14ac:dyDescent="0.3">
      <c r="A11">
        <v>2094.08</v>
      </c>
      <c r="B11">
        <v>0.06</v>
      </c>
      <c r="C11">
        <v>0.16</v>
      </c>
    </row>
    <row r="12" spans="1:3" x14ac:dyDescent="0.3">
      <c r="A12">
        <v>1030.3499999999999</v>
      </c>
      <c r="B12">
        <v>0.28999999999999998</v>
      </c>
      <c r="C12">
        <v>0.23</v>
      </c>
    </row>
    <row r="13" spans="1:3" x14ac:dyDescent="0.3">
      <c r="A13">
        <v>956.98</v>
      </c>
      <c r="B13">
        <v>0.4</v>
      </c>
      <c r="C13">
        <v>0.26</v>
      </c>
    </row>
    <row r="14" spans="1:3" x14ac:dyDescent="0.3">
      <c r="A14">
        <v>953.99</v>
      </c>
      <c r="B14">
        <v>0.38</v>
      </c>
      <c r="C14">
        <v>0.27</v>
      </c>
    </row>
    <row r="15" spans="1:3" x14ac:dyDescent="0.3">
      <c r="A15">
        <v>874.57</v>
      </c>
      <c r="B15">
        <v>0.36</v>
      </c>
      <c r="C15">
        <v>0.26</v>
      </c>
    </row>
    <row r="16" spans="1:3" x14ac:dyDescent="0.3">
      <c r="A16">
        <v>989.47</v>
      </c>
      <c r="B16">
        <v>0.6</v>
      </c>
      <c r="C16">
        <v>0.34</v>
      </c>
    </row>
    <row r="17" spans="1:3" x14ac:dyDescent="0.3">
      <c r="A17">
        <v>1389.86</v>
      </c>
      <c r="B17">
        <v>0.12</v>
      </c>
      <c r="C17">
        <v>0.18</v>
      </c>
    </row>
    <row r="18" spans="1:3" x14ac:dyDescent="0.3">
      <c r="A18">
        <v>898.26</v>
      </c>
      <c r="B18">
        <v>0.3</v>
      </c>
      <c r="C18">
        <v>0.25</v>
      </c>
    </row>
    <row r="19" spans="1:3" x14ac:dyDescent="0.3">
      <c r="A19">
        <v>917.83</v>
      </c>
      <c r="B19">
        <v>0.51</v>
      </c>
      <c r="C19">
        <v>0.32</v>
      </c>
    </row>
    <row r="20" spans="1:3" x14ac:dyDescent="0.3">
      <c r="A20">
        <v>942.46</v>
      </c>
      <c r="B20">
        <v>0.56000000000000005</v>
      </c>
      <c r="C20">
        <v>0.33</v>
      </c>
    </row>
    <row r="21" spans="1:3" x14ac:dyDescent="0.3">
      <c r="A21">
        <v>897.57</v>
      </c>
      <c r="B21">
        <v>0.43</v>
      </c>
      <c r="C21">
        <v>0.3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/>
  <dimension ref="A1:F21"/>
  <sheetViews>
    <sheetView workbookViewId="0">
      <selection activeCell="F2" sqref="F2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F1" t="s">
        <v>31</v>
      </c>
    </row>
    <row r="2" spans="1:6" x14ac:dyDescent="0.3">
      <c r="A2">
        <v>82.41</v>
      </c>
      <c r="B2">
        <v>0.02</v>
      </c>
      <c r="C2">
        <v>0.15</v>
      </c>
      <c r="F2">
        <f>_xlfn.T.TEST(B2:B21,control!B2:B21,1,3)</f>
        <v>5.7930889388818272E-4</v>
      </c>
    </row>
    <row r="3" spans="1:6" x14ac:dyDescent="0.3">
      <c r="A3">
        <v>125.3</v>
      </c>
      <c r="B3">
        <v>0.17</v>
      </c>
      <c r="C3">
        <v>0.18</v>
      </c>
    </row>
    <row r="4" spans="1:6" x14ac:dyDescent="0.3">
      <c r="A4">
        <v>96.98</v>
      </c>
      <c r="B4">
        <v>0.3</v>
      </c>
      <c r="C4">
        <v>0.26</v>
      </c>
    </row>
    <row r="5" spans="1:6" x14ac:dyDescent="0.3">
      <c r="A5">
        <v>94.08</v>
      </c>
      <c r="B5">
        <v>0.03</v>
      </c>
      <c r="C5">
        <v>0.15</v>
      </c>
    </row>
    <row r="6" spans="1:6" x14ac:dyDescent="0.3">
      <c r="A6">
        <v>69.69</v>
      </c>
      <c r="B6">
        <v>0.21</v>
      </c>
      <c r="C6">
        <v>0.25</v>
      </c>
    </row>
    <row r="7" spans="1:6" x14ac:dyDescent="0.3">
      <c r="A7">
        <v>99.55</v>
      </c>
      <c r="B7">
        <v>0.01</v>
      </c>
      <c r="C7">
        <v>0.14000000000000001</v>
      </c>
    </row>
    <row r="8" spans="1:6" x14ac:dyDescent="0.3">
      <c r="A8">
        <v>89.36</v>
      </c>
      <c r="B8">
        <v>0.11</v>
      </c>
      <c r="C8">
        <v>0.17</v>
      </c>
    </row>
    <row r="9" spans="1:6" x14ac:dyDescent="0.3">
      <c r="A9">
        <v>63.73</v>
      </c>
      <c r="B9">
        <v>0.48</v>
      </c>
      <c r="C9">
        <v>0.28999999999999998</v>
      </c>
    </row>
    <row r="10" spans="1:6" x14ac:dyDescent="0.3">
      <c r="A10">
        <v>77.180000000000007</v>
      </c>
      <c r="B10">
        <v>0.14000000000000001</v>
      </c>
      <c r="C10">
        <v>0.19</v>
      </c>
    </row>
    <row r="11" spans="1:6" x14ac:dyDescent="0.3">
      <c r="A11">
        <v>60.97</v>
      </c>
      <c r="B11">
        <v>0.28999999999999998</v>
      </c>
      <c r="C11">
        <v>0.25</v>
      </c>
    </row>
    <row r="12" spans="1:6" x14ac:dyDescent="0.3">
      <c r="A12">
        <v>85.93</v>
      </c>
      <c r="B12">
        <v>0.01</v>
      </c>
      <c r="C12">
        <v>0.14000000000000001</v>
      </c>
    </row>
    <row r="13" spans="1:6" x14ac:dyDescent="0.3">
      <c r="A13">
        <v>97.77</v>
      </c>
      <c r="B13">
        <v>0.2</v>
      </c>
      <c r="C13">
        <v>0.2</v>
      </c>
    </row>
    <row r="14" spans="1:6" x14ac:dyDescent="0.3">
      <c r="A14">
        <v>70.2</v>
      </c>
      <c r="B14">
        <v>0.51</v>
      </c>
      <c r="C14">
        <v>0.32</v>
      </c>
    </row>
    <row r="15" spans="1:6" x14ac:dyDescent="0.3">
      <c r="A15">
        <v>54.06</v>
      </c>
      <c r="B15">
        <v>0.03</v>
      </c>
      <c r="C15">
        <v>0.15</v>
      </c>
    </row>
    <row r="16" spans="1:6" x14ac:dyDescent="0.3">
      <c r="A16">
        <v>83.21</v>
      </c>
      <c r="B16">
        <v>0.21</v>
      </c>
      <c r="C16">
        <v>0.22</v>
      </c>
    </row>
    <row r="17" spans="1:3" x14ac:dyDescent="0.3">
      <c r="A17">
        <v>88.04</v>
      </c>
      <c r="B17">
        <v>0.1</v>
      </c>
      <c r="C17">
        <v>0.21</v>
      </c>
    </row>
    <row r="18" spans="1:3" x14ac:dyDescent="0.3">
      <c r="A18">
        <v>89.49</v>
      </c>
      <c r="B18">
        <v>0.01</v>
      </c>
      <c r="C18">
        <v>0.15</v>
      </c>
    </row>
    <row r="19" spans="1:3" x14ac:dyDescent="0.3">
      <c r="A19">
        <v>58.17</v>
      </c>
      <c r="B19">
        <v>0.2</v>
      </c>
      <c r="C19">
        <v>0.22</v>
      </c>
    </row>
    <row r="20" spans="1:3" x14ac:dyDescent="0.3">
      <c r="A20">
        <v>53.31</v>
      </c>
      <c r="B20">
        <v>0.28999999999999998</v>
      </c>
      <c r="C20">
        <v>0.22</v>
      </c>
    </row>
    <row r="21" spans="1:3" x14ac:dyDescent="0.3">
      <c r="A21">
        <v>74.48</v>
      </c>
      <c r="B21">
        <v>0.09</v>
      </c>
      <c r="C21">
        <v>0.22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G21"/>
  <sheetViews>
    <sheetView workbookViewId="0">
      <selection activeCell="G2" sqref="G2"/>
    </sheetView>
  </sheetViews>
  <sheetFormatPr defaultRowHeight="14.4" x14ac:dyDescent="0.3"/>
  <cols>
    <col min="6" max="6" width="12" bestFit="1" customWidth="1"/>
  </cols>
  <sheetData>
    <row r="1" spans="1:7" x14ac:dyDescent="0.3">
      <c r="A1" t="s">
        <v>0</v>
      </c>
      <c r="B1" t="s">
        <v>1</v>
      </c>
      <c r="C1" t="s">
        <v>2</v>
      </c>
      <c r="F1" t="s">
        <v>31</v>
      </c>
      <c r="G1" t="s">
        <v>32</v>
      </c>
    </row>
    <row r="2" spans="1:7" x14ac:dyDescent="0.3">
      <c r="A2">
        <v>63.6</v>
      </c>
      <c r="B2">
        <v>0.05</v>
      </c>
      <c r="C2">
        <v>0.17</v>
      </c>
      <c r="F2" s="2">
        <f>_xlfn.T.TEST(B2:B21,control!B2:B21,1,3)</f>
        <v>1.005864801433401E-6</v>
      </c>
      <c r="G2">
        <f>_xlfn.T.TEST(B2:B21,'small-batchsize'!B2:B21,1,3)</f>
        <v>8.9052177621406978E-3</v>
      </c>
    </row>
    <row r="3" spans="1:7" x14ac:dyDescent="0.3">
      <c r="A3">
        <v>71.84</v>
      </c>
      <c r="B3">
        <v>0.02</v>
      </c>
      <c r="C3">
        <v>0.15</v>
      </c>
    </row>
    <row r="4" spans="1:7" x14ac:dyDescent="0.3">
      <c r="A4">
        <v>99.84</v>
      </c>
      <c r="B4">
        <v>0.12</v>
      </c>
      <c r="C4">
        <v>0.19</v>
      </c>
    </row>
    <row r="5" spans="1:7" x14ac:dyDescent="0.3">
      <c r="A5">
        <v>67.59</v>
      </c>
      <c r="B5">
        <v>0.03</v>
      </c>
      <c r="C5">
        <v>0.17</v>
      </c>
    </row>
    <row r="6" spans="1:7" x14ac:dyDescent="0.3">
      <c r="A6">
        <v>131.22999999999999</v>
      </c>
      <c r="B6">
        <v>0.19</v>
      </c>
      <c r="C6">
        <v>0.2</v>
      </c>
    </row>
    <row r="7" spans="1:7" x14ac:dyDescent="0.3">
      <c r="A7">
        <v>114.4</v>
      </c>
      <c r="B7">
        <v>0.01</v>
      </c>
      <c r="C7">
        <v>0.17</v>
      </c>
    </row>
    <row r="8" spans="1:7" x14ac:dyDescent="0.3">
      <c r="A8">
        <v>85.46</v>
      </c>
      <c r="B8">
        <v>0.21</v>
      </c>
      <c r="C8">
        <v>0.21</v>
      </c>
    </row>
    <row r="9" spans="1:7" x14ac:dyDescent="0.3">
      <c r="A9">
        <v>73.66</v>
      </c>
      <c r="B9">
        <v>0.02</v>
      </c>
      <c r="C9">
        <v>0.15</v>
      </c>
    </row>
    <row r="10" spans="1:7" x14ac:dyDescent="0.3">
      <c r="A10">
        <v>76.39</v>
      </c>
      <c r="B10">
        <v>0.01</v>
      </c>
      <c r="C10">
        <v>0.12</v>
      </c>
    </row>
    <row r="11" spans="1:7" x14ac:dyDescent="0.3">
      <c r="A11">
        <v>133.38999999999999</v>
      </c>
      <c r="B11">
        <v>0.05</v>
      </c>
      <c r="C11">
        <v>0.15</v>
      </c>
    </row>
    <row r="12" spans="1:7" x14ac:dyDescent="0.3">
      <c r="A12">
        <v>87.15</v>
      </c>
      <c r="B12">
        <v>0.02</v>
      </c>
      <c r="C12">
        <v>0.14000000000000001</v>
      </c>
    </row>
    <row r="13" spans="1:7" x14ac:dyDescent="0.3">
      <c r="A13">
        <v>60.41</v>
      </c>
      <c r="B13">
        <v>0.14000000000000001</v>
      </c>
      <c r="C13">
        <v>0.18</v>
      </c>
    </row>
    <row r="14" spans="1:7" x14ac:dyDescent="0.3">
      <c r="A14">
        <v>66.27</v>
      </c>
      <c r="B14">
        <v>0.03</v>
      </c>
      <c r="C14">
        <v>0.14000000000000001</v>
      </c>
    </row>
    <row r="15" spans="1:7" x14ac:dyDescent="0.3">
      <c r="A15">
        <v>72.58</v>
      </c>
      <c r="B15">
        <v>0.15</v>
      </c>
      <c r="C15">
        <v>0.2</v>
      </c>
    </row>
    <row r="16" spans="1:7" x14ac:dyDescent="0.3">
      <c r="A16">
        <v>102.49</v>
      </c>
      <c r="B16">
        <v>0.03</v>
      </c>
      <c r="C16">
        <v>0.14000000000000001</v>
      </c>
    </row>
    <row r="17" spans="1:3" x14ac:dyDescent="0.3">
      <c r="A17">
        <v>81.02</v>
      </c>
      <c r="B17">
        <v>0.02</v>
      </c>
      <c r="C17">
        <v>0.18</v>
      </c>
    </row>
    <row r="18" spans="1:3" x14ac:dyDescent="0.3">
      <c r="A18">
        <v>60.61</v>
      </c>
      <c r="B18">
        <v>0.26</v>
      </c>
      <c r="C18">
        <v>0.25</v>
      </c>
    </row>
    <row r="19" spans="1:3" x14ac:dyDescent="0.3">
      <c r="A19">
        <v>97.38</v>
      </c>
      <c r="B19">
        <v>0.13</v>
      </c>
      <c r="C19">
        <v>0.18</v>
      </c>
    </row>
    <row r="20" spans="1:3" x14ac:dyDescent="0.3">
      <c r="A20">
        <v>70.19</v>
      </c>
      <c r="B20">
        <v>0.01</v>
      </c>
      <c r="C20">
        <v>0.13</v>
      </c>
    </row>
    <row r="21" spans="1:3" x14ac:dyDescent="0.3">
      <c r="A21">
        <v>78.73</v>
      </c>
      <c r="B21">
        <v>0.03</v>
      </c>
      <c r="C21">
        <v>0.16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5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82.57</v>
      </c>
      <c r="B2">
        <v>0.03</v>
      </c>
      <c r="C2">
        <v>0.17</v>
      </c>
    </row>
    <row r="3" spans="1:3" x14ac:dyDescent="0.3">
      <c r="A3">
        <v>150.15</v>
      </c>
      <c r="B3">
        <v>0.22</v>
      </c>
      <c r="C3">
        <v>0.24</v>
      </c>
    </row>
    <row r="4" spans="1:3" x14ac:dyDescent="0.3">
      <c r="A4">
        <v>58.08</v>
      </c>
      <c r="B4">
        <v>0.01</v>
      </c>
      <c r="C4">
        <v>0.17</v>
      </c>
    </row>
    <row r="5" spans="1:3" x14ac:dyDescent="0.3">
      <c r="A5">
        <v>42.76</v>
      </c>
      <c r="B5">
        <v>7.0000000000000007E-2</v>
      </c>
      <c r="C5">
        <v>0.19</v>
      </c>
    </row>
    <row r="6" spans="1:3" x14ac:dyDescent="0.3">
      <c r="A6">
        <v>182.31</v>
      </c>
      <c r="B6">
        <v>0.01</v>
      </c>
      <c r="C6">
        <v>0.14000000000000001</v>
      </c>
    </row>
    <row r="7" spans="1:3" x14ac:dyDescent="0.3">
      <c r="A7">
        <v>174.48</v>
      </c>
      <c r="B7">
        <v>0.25</v>
      </c>
      <c r="C7">
        <v>0.25</v>
      </c>
    </row>
    <row r="8" spans="1:3" x14ac:dyDescent="0.3">
      <c r="A8">
        <v>153.63</v>
      </c>
      <c r="B8">
        <v>0.34</v>
      </c>
      <c r="C8">
        <v>0.25</v>
      </c>
    </row>
    <row r="9" spans="1:3" x14ac:dyDescent="0.3">
      <c r="A9">
        <v>102.42</v>
      </c>
      <c r="B9">
        <v>0.16</v>
      </c>
      <c r="C9">
        <v>0.19</v>
      </c>
    </row>
    <row r="10" spans="1:3" x14ac:dyDescent="0.3">
      <c r="A10">
        <v>120.62</v>
      </c>
      <c r="B10">
        <v>0.3</v>
      </c>
      <c r="C10">
        <v>0.25</v>
      </c>
    </row>
    <row r="11" spans="1:3" x14ac:dyDescent="0.3">
      <c r="A11">
        <v>135.41999999999999</v>
      </c>
      <c r="B11">
        <v>0.04</v>
      </c>
      <c r="C11">
        <v>0.17</v>
      </c>
    </row>
    <row r="12" spans="1:3" x14ac:dyDescent="0.3">
      <c r="A12">
        <v>117.89</v>
      </c>
      <c r="B12">
        <v>0.4</v>
      </c>
      <c r="C12">
        <v>0.27</v>
      </c>
    </row>
    <row r="13" spans="1:3" x14ac:dyDescent="0.3">
      <c r="A13">
        <v>135.91</v>
      </c>
      <c r="B13">
        <v>0.09</v>
      </c>
      <c r="C13">
        <v>0.18</v>
      </c>
    </row>
    <row r="14" spans="1:3" x14ac:dyDescent="0.3">
      <c r="A14">
        <v>63.21</v>
      </c>
      <c r="B14">
        <v>0.01</v>
      </c>
      <c r="C14">
        <v>0.18</v>
      </c>
    </row>
    <row r="15" spans="1:3" x14ac:dyDescent="0.3">
      <c r="A15">
        <v>112.72</v>
      </c>
      <c r="B15">
        <v>0.43</v>
      </c>
      <c r="C15">
        <v>0.28000000000000003</v>
      </c>
    </row>
    <row r="16" spans="1:3" x14ac:dyDescent="0.3">
      <c r="A16">
        <v>46.8</v>
      </c>
      <c r="B16">
        <v>0.19</v>
      </c>
      <c r="C16">
        <v>0.21</v>
      </c>
    </row>
    <row r="17" spans="1:3" x14ac:dyDescent="0.3">
      <c r="A17">
        <v>148.6</v>
      </c>
      <c r="B17">
        <v>0.31</v>
      </c>
      <c r="C17">
        <v>0.24</v>
      </c>
    </row>
    <row r="18" spans="1:3" x14ac:dyDescent="0.3">
      <c r="A18">
        <v>61.69</v>
      </c>
      <c r="B18">
        <v>0.02</v>
      </c>
      <c r="C18">
        <v>0.16</v>
      </c>
    </row>
    <row r="19" spans="1:3" x14ac:dyDescent="0.3">
      <c r="A19">
        <v>124.9</v>
      </c>
      <c r="B19">
        <v>0.27</v>
      </c>
      <c r="C19">
        <v>0.24</v>
      </c>
    </row>
    <row r="20" spans="1:3" x14ac:dyDescent="0.3">
      <c r="A20">
        <v>150.34</v>
      </c>
      <c r="B20">
        <v>0.42</v>
      </c>
      <c r="C20">
        <v>0.28999999999999998</v>
      </c>
    </row>
    <row r="21" spans="1:3" x14ac:dyDescent="0.3">
      <c r="A21">
        <v>134.6</v>
      </c>
      <c r="B21">
        <v>0.41</v>
      </c>
      <c r="C21">
        <v>0.27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6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177.58</v>
      </c>
      <c r="B2">
        <v>0.44</v>
      </c>
      <c r="C2">
        <v>0.28999999999999998</v>
      </c>
    </row>
    <row r="3" spans="1:3" x14ac:dyDescent="0.3">
      <c r="A3">
        <v>129.21</v>
      </c>
      <c r="B3">
        <v>0.11</v>
      </c>
      <c r="C3">
        <v>0.19</v>
      </c>
    </row>
    <row r="4" spans="1:3" x14ac:dyDescent="0.3">
      <c r="A4">
        <v>117.57</v>
      </c>
      <c r="B4">
        <v>0.3</v>
      </c>
      <c r="C4">
        <v>0.25</v>
      </c>
    </row>
    <row r="5" spans="1:3" x14ac:dyDescent="0.3">
      <c r="A5">
        <v>182.19</v>
      </c>
      <c r="B5">
        <v>0.53</v>
      </c>
      <c r="C5">
        <v>0.35</v>
      </c>
    </row>
    <row r="6" spans="1:3" x14ac:dyDescent="0.3">
      <c r="A6">
        <v>43.09</v>
      </c>
      <c r="B6">
        <v>0</v>
      </c>
      <c r="C6">
        <v>0.14000000000000001</v>
      </c>
    </row>
    <row r="7" spans="1:3" x14ac:dyDescent="0.3">
      <c r="A7">
        <v>154.55000000000001</v>
      </c>
      <c r="B7">
        <v>0.28999999999999998</v>
      </c>
      <c r="C7">
        <v>0.25</v>
      </c>
    </row>
    <row r="8" spans="1:3" x14ac:dyDescent="0.3">
      <c r="A8">
        <v>254.56</v>
      </c>
      <c r="B8">
        <v>0.36</v>
      </c>
      <c r="C8">
        <v>0.27</v>
      </c>
    </row>
    <row r="9" spans="1:3" x14ac:dyDescent="0.3">
      <c r="A9">
        <v>85.5</v>
      </c>
      <c r="B9">
        <v>0.49</v>
      </c>
      <c r="C9">
        <v>0.3</v>
      </c>
    </row>
    <row r="10" spans="1:3" x14ac:dyDescent="0.3">
      <c r="A10">
        <v>167.07</v>
      </c>
      <c r="B10">
        <v>0.26</v>
      </c>
      <c r="C10">
        <v>0.31</v>
      </c>
    </row>
    <row r="11" spans="1:3" x14ac:dyDescent="0.3">
      <c r="A11">
        <v>132.97999999999999</v>
      </c>
      <c r="B11">
        <v>0.2</v>
      </c>
      <c r="C11">
        <v>0.21</v>
      </c>
    </row>
    <row r="12" spans="1:3" x14ac:dyDescent="0.3">
      <c r="A12">
        <v>182.48</v>
      </c>
      <c r="B12">
        <v>0.23</v>
      </c>
      <c r="C12">
        <v>0.21</v>
      </c>
    </row>
    <row r="13" spans="1:3" x14ac:dyDescent="0.3">
      <c r="A13">
        <v>275.47000000000003</v>
      </c>
      <c r="B13">
        <v>0.01</v>
      </c>
      <c r="C13">
        <v>0.13</v>
      </c>
    </row>
    <row r="14" spans="1:3" x14ac:dyDescent="0.3">
      <c r="A14">
        <v>178.85</v>
      </c>
      <c r="B14">
        <v>0.3</v>
      </c>
      <c r="C14">
        <v>0.24</v>
      </c>
    </row>
    <row r="15" spans="1:3" x14ac:dyDescent="0.3">
      <c r="A15">
        <v>134.38999999999999</v>
      </c>
      <c r="B15">
        <v>0.31</v>
      </c>
      <c r="C15">
        <v>0.24</v>
      </c>
    </row>
    <row r="16" spans="1:3" x14ac:dyDescent="0.3">
      <c r="A16">
        <v>226.97</v>
      </c>
      <c r="B16">
        <v>0.41</v>
      </c>
      <c r="C16">
        <v>0.41</v>
      </c>
    </row>
    <row r="17" spans="1:3" x14ac:dyDescent="0.3">
      <c r="A17">
        <v>30.81</v>
      </c>
      <c r="B17">
        <v>0.03</v>
      </c>
      <c r="C17">
        <v>0.16</v>
      </c>
    </row>
    <row r="18" spans="1:3" x14ac:dyDescent="0.3">
      <c r="A18">
        <v>226.66</v>
      </c>
      <c r="B18">
        <v>0.47</v>
      </c>
      <c r="C18">
        <v>0.3</v>
      </c>
    </row>
    <row r="19" spans="1:3" x14ac:dyDescent="0.3">
      <c r="A19">
        <v>199.43</v>
      </c>
      <c r="B19">
        <v>0.53</v>
      </c>
      <c r="C19">
        <v>0.39</v>
      </c>
    </row>
    <row r="20" spans="1:3" x14ac:dyDescent="0.3">
      <c r="A20">
        <v>148.53</v>
      </c>
      <c r="B20">
        <v>0.27</v>
      </c>
      <c r="C20">
        <v>0.25</v>
      </c>
    </row>
    <row r="21" spans="1:3" x14ac:dyDescent="0.3">
      <c r="A21">
        <v>224.49</v>
      </c>
      <c r="B21">
        <v>0.32</v>
      </c>
      <c r="C21">
        <v>0.25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1133.1500000000001</v>
      </c>
      <c r="B2">
        <v>0.02</v>
      </c>
      <c r="C2">
        <v>0.15</v>
      </c>
    </row>
    <row r="3" spans="1:3" x14ac:dyDescent="0.3">
      <c r="A3">
        <v>1051.92</v>
      </c>
      <c r="B3">
        <v>0.12</v>
      </c>
      <c r="C3">
        <v>0.21</v>
      </c>
    </row>
    <row r="4" spans="1:3" x14ac:dyDescent="0.3">
      <c r="A4">
        <v>594.62</v>
      </c>
      <c r="B4">
        <v>0.09</v>
      </c>
      <c r="C4">
        <v>0.25</v>
      </c>
    </row>
    <row r="5" spans="1:3" x14ac:dyDescent="0.3">
      <c r="A5">
        <v>605.28</v>
      </c>
      <c r="B5">
        <v>0.01</v>
      </c>
      <c r="C5">
        <v>0.14000000000000001</v>
      </c>
    </row>
    <row r="6" spans="1:3" x14ac:dyDescent="0.3">
      <c r="A6">
        <v>1398.97</v>
      </c>
      <c r="B6">
        <v>0.01</v>
      </c>
      <c r="C6">
        <v>0.15</v>
      </c>
    </row>
    <row r="7" spans="1:3" x14ac:dyDescent="0.3">
      <c r="A7">
        <v>563.88</v>
      </c>
      <c r="B7">
        <v>0.4</v>
      </c>
      <c r="C7">
        <v>0.28999999999999998</v>
      </c>
    </row>
    <row r="8" spans="1:3" x14ac:dyDescent="0.3">
      <c r="A8">
        <v>975.9</v>
      </c>
      <c r="B8">
        <v>0.39</v>
      </c>
      <c r="C8">
        <v>0.28000000000000003</v>
      </c>
    </row>
    <row r="9" spans="1:3" x14ac:dyDescent="0.3">
      <c r="A9">
        <v>884.17</v>
      </c>
      <c r="B9">
        <v>0.53</v>
      </c>
      <c r="C9">
        <v>0.32</v>
      </c>
    </row>
    <row r="10" spans="1:3" x14ac:dyDescent="0.3">
      <c r="A10">
        <v>861.32</v>
      </c>
      <c r="B10">
        <v>0.04</v>
      </c>
      <c r="C10">
        <v>0.2</v>
      </c>
    </row>
    <row r="11" spans="1:3" x14ac:dyDescent="0.3">
      <c r="A11">
        <v>362.79</v>
      </c>
      <c r="B11">
        <v>0.02</v>
      </c>
      <c r="C11">
        <v>0.14000000000000001</v>
      </c>
    </row>
    <row r="12" spans="1:3" x14ac:dyDescent="0.3">
      <c r="A12">
        <v>1011.77</v>
      </c>
      <c r="B12">
        <v>0.57999999999999996</v>
      </c>
      <c r="C12">
        <v>0.34</v>
      </c>
    </row>
    <row r="13" spans="1:3" x14ac:dyDescent="0.3">
      <c r="A13">
        <v>1437.94</v>
      </c>
      <c r="B13">
        <v>0.87</v>
      </c>
      <c r="C13">
        <v>0.45</v>
      </c>
    </row>
    <row r="14" spans="1:3" x14ac:dyDescent="0.3">
      <c r="A14">
        <v>646.79999999999995</v>
      </c>
      <c r="B14">
        <v>0.13</v>
      </c>
      <c r="C14">
        <v>0.19</v>
      </c>
    </row>
    <row r="15" spans="1:3" x14ac:dyDescent="0.3">
      <c r="A15">
        <v>688.33</v>
      </c>
      <c r="B15">
        <v>0.47</v>
      </c>
      <c r="C15">
        <v>0.3</v>
      </c>
    </row>
    <row r="16" spans="1:3" x14ac:dyDescent="0.3">
      <c r="A16">
        <v>690.43</v>
      </c>
      <c r="B16">
        <v>0.52</v>
      </c>
      <c r="C16">
        <v>0.34</v>
      </c>
    </row>
    <row r="17" spans="1:3" x14ac:dyDescent="0.3">
      <c r="A17">
        <v>1103.3900000000001</v>
      </c>
      <c r="B17">
        <v>0.65</v>
      </c>
      <c r="C17">
        <v>0.36</v>
      </c>
    </row>
    <row r="18" spans="1:3" x14ac:dyDescent="0.3">
      <c r="A18">
        <v>785.42</v>
      </c>
      <c r="B18">
        <v>0.01</v>
      </c>
      <c r="C18">
        <v>0.13</v>
      </c>
    </row>
    <row r="19" spans="1:3" x14ac:dyDescent="0.3">
      <c r="A19">
        <v>600.38</v>
      </c>
      <c r="B19">
        <v>0.51</v>
      </c>
      <c r="C19">
        <v>0.33</v>
      </c>
    </row>
    <row r="20" spans="1:3" x14ac:dyDescent="0.3">
      <c r="A20">
        <v>1089.8399999999999</v>
      </c>
      <c r="B20">
        <v>0</v>
      </c>
      <c r="C20">
        <v>0.14000000000000001</v>
      </c>
    </row>
    <row r="21" spans="1:3" x14ac:dyDescent="0.3">
      <c r="A21">
        <v>1079.18</v>
      </c>
      <c r="B21">
        <v>0.47</v>
      </c>
      <c r="C21">
        <v>0.33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/>
  <dimension ref="A1:F21"/>
  <sheetViews>
    <sheetView workbookViewId="0">
      <selection activeCell="F2" sqref="F2"/>
    </sheetView>
  </sheetViews>
  <sheetFormatPr defaultRowHeight="14.4" x14ac:dyDescent="0.3"/>
  <cols>
    <col min="6" max="6" width="9.5546875" bestFit="1" customWidth="1"/>
  </cols>
  <sheetData>
    <row r="1" spans="1:6" x14ac:dyDescent="0.3">
      <c r="A1" t="s">
        <v>0</v>
      </c>
      <c r="B1" t="s">
        <v>1</v>
      </c>
      <c r="C1" t="s">
        <v>2</v>
      </c>
      <c r="F1" t="s">
        <v>31</v>
      </c>
    </row>
    <row r="2" spans="1:6" x14ac:dyDescent="0.3">
      <c r="A2">
        <v>0.52</v>
      </c>
      <c r="B2">
        <v>0.05</v>
      </c>
      <c r="C2">
        <v>0.16</v>
      </c>
      <c r="F2" s="3">
        <f>_xlfn.T.TEST(B2:B21,control!B2:B21,1,3)</f>
        <v>3.0353724272152038E-7</v>
      </c>
    </row>
    <row r="3" spans="1:6" x14ac:dyDescent="0.3">
      <c r="A3">
        <v>0.01</v>
      </c>
      <c r="B3">
        <v>0.04</v>
      </c>
      <c r="C3">
        <v>0.16</v>
      </c>
    </row>
    <row r="4" spans="1:6" x14ac:dyDescent="0.3">
      <c r="A4">
        <v>0.22</v>
      </c>
      <c r="B4">
        <v>0.03</v>
      </c>
      <c r="C4">
        <v>0.16</v>
      </c>
    </row>
    <row r="5" spans="1:6" x14ac:dyDescent="0.3">
      <c r="A5">
        <v>0.01</v>
      </c>
      <c r="B5">
        <v>0.05</v>
      </c>
      <c r="C5">
        <v>0.16</v>
      </c>
    </row>
    <row r="6" spans="1:6" x14ac:dyDescent="0.3">
      <c r="A6">
        <v>0.01</v>
      </c>
      <c r="B6">
        <v>0.04</v>
      </c>
      <c r="C6">
        <v>0.16</v>
      </c>
    </row>
    <row r="7" spans="1:6" x14ac:dyDescent="0.3">
      <c r="A7">
        <v>0.24</v>
      </c>
      <c r="B7">
        <v>0.06</v>
      </c>
      <c r="C7">
        <v>0.17</v>
      </c>
    </row>
    <row r="8" spans="1:6" x14ac:dyDescent="0.3">
      <c r="A8">
        <v>0.03</v>
      </c>
      <c r="B8">
        <v>0.03</v>
      </c>
      <c r="C8">
        <v>0.16</v>
      </c>
    </row>
    <row r="9" spans="1:6" x14ac:dyDescent="0.3">
      <c r="A9">
        <v>0.23</v>
      </c>
      <c r="B9">
        <v>0.05</v>
      </c>
      <c r="C9">
        <v>0.17</v>
      </c>
    </row>
    <row r="10" spans="1:6" x14ac:dyDescent="0.3">
      <c r="A10">
        <v>0.01</v>
      </c>
      <c r="B10">
        <v>0.04</v>
      </c>
      <c r="C10">
        <v>0.16</v>
      </c>
    </row>
    <row r="11" spans="1:6" x14ac:dyDescent="0.3">
      <c r="A11">
        <v>0.13</v>
      </c>
      <c r="B11">
        <v>0.05</v>
      </c>
      <c r="C11">
        <v>0.16</v>
      </c>
    </row>
    <row r="12" spans="1:6" x14ac:dyDescent="0.3">
      <c r="A12">
        <v>0.34</v>
      </c>
      <c r="B12">
        <v>0.05</v>
      </c>
      <c r="C12">
        <v>0.17</v>
      </c>
    </row>
    <row r="13" spans="1:6" x14ac:dyDescent="0.3">
      <c r="A13">
        <v>0.22</v>
      </c>
      <c r="B13">
        <v>0.05</v>
      </c>
      <c r="C13">
        <v>0.17</v>
      </c>
    </row>
    <row r="14" spans="1:6" x14ac:dyDescent="0.3">
      <c r="A14">
        <v>0.21</v>
      </c>
      <c r="B14">
        <v>0.06</v>
      </c>
      <c r="C14">
        <v>0.17</v>
      </c>
    </row>
    <row r="15" spans="1:6" x14ac:dyDescent="0.3">
      <c r="A15">
        <v>0.02</v>
      </c>
      <c r="B15">
        <v>0.03</v>
      </c>
      <c r="C15">
        <v>0.16</v>
      </c>
    </row>
    <row r="16" spans="1:6" x14ac:dyDescent="0.3">
      <c r="A16">
        <v>0.21</v>
      </c>
      <c r="B16">
        <v>0.05</v>
      </c>
      <c r="C16">
        <v>0.17</v>
      </c>
    </row>
    <row r="17" spans="1:3" x14ac:dyDescent="0.3">
      <c r="A17">
        <v>0.23</v>
      </c>
      <c r="B17">
        <v>0.05</v>
      </c>
      <c r="C17">
        <v>0.16</v>
      </c>
    </row>
    <row r="18" spans="1:3" x14ac:dyDescent="0.3">
      <c r="A18">
        <v>0.02</v>
      </c>
      <c r="B18">
        <v>0.06</v>
      </c>
      <c r="C18">
        <v>0.17</v>
      </c>
    </row>
    <row r="19" spans="1:3" x14ac:dyDescent="0.3">
      <c r="A19">
        <v>0.31</v>
      </c>
      <c r="B19">
        <v>0.03</v>
      </c>
      <c r="C19">
        <v>0.15</v>
      </c>
    </row>
    <row r="20" spans="1:3" x14ac:dyDescent="0.3">
      <c r="A20">
        <v>0.22</v>
      </c>
      <c r="B20">
        <v>0.05</v>
      </c>
      <c r="C20">
        <v>0.16</v>
      </c>
    </row>
    <row r="21" spans="1:3" x14ac:dyDescent="0.3">
      <c r="A21">
        <v>0.01</v>
      </c>
      <c r="B21">
        <v>0.06</v>
      </c>
      <c r="C21">
        <v>0.17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26</vt:i4>
      </vt:variant>
    </vt:vector>
  </HeadingPairs>
  <TitlesOfParts>
    <vt:vector size="26" baseType="lpstr">
      <vt:lpstr>Table</vt:lpstr>
      <vt:lpstr>control</vt:lpstr>
      <vt:lpstr>low-iteration</vt:lpstr>
      <vt:lpstr>prio-sweep</vt:lpstr>
      <vt:lpstr>low-iteration-prio-sweep</vt:lpstr>
      <vt:lpstr>human-ass</vt:lpstr>
      <vt:lpstr>human-ass-low-iteration</vt:lpstr>
      <vt:lpstr>grid-state</vt:lpstr>
      <vt:lpstr>large-grid-state</vt:lpstr>
      <vt:lpstr>small-grid-state</vt:lpstr>
      <vt:lpstr>small-grid-vector-state</vt:lpstr>
      <vt:lpstr>grid-vector-binned-state</vt:lpstr>
      <vt:lpstr>vector-state</vt:lpstr>
      <vt:lpstr>vector-binned-state</vt:lpstr>
      <vt:lpstr>predefined-seeker</vt:lpstr>
      <vt:lpstr>predefined-seeker-random-goal</vt:lpstr>
      <vt:lpstr>random-seeker-random-goal</vt:lpstr>
      <vt:lpstr>high-iteration</vt:lpstr>
      <vt:lpstr>very-high-iteration</vt:lpstr>
      <vt:lpstr>very-high-iteration-full-batch</vt:lpstr>
      <vt:lpstr>small-batchsize</vt:lpstr>
      <vt:lpstr>small-batchsize-small-poolsize</vt:lpstr>
      <vt:lpstr>large-poolsize</vt:lpstr>
      <vt:lpstr>large-batchsize-large-poolsize</vt:lpstr>
      <vt:lpstr>low-stride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Falsted</dc:creator>
  <cp:lastModifiedBy>Nikolaj Falsted</cp:lastModifiedBy>
  <dcterms:created xsi:type="dcterms:W3CDTF">2015-08-06T07:14:17Z</dcterms:created>
  <dcterms:modified xsi:type="dcterms:W3CDTF">2015-08-19T08:55:38Z</dcterms:modified>
</cp:coreProperties>
</file>