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256" windowHeight="12432" tabRatio="1000"/>
  </bookViews>
  <sheets>
    <sheet name="Table" sheetId="5" r:id="rId1"/>
    <sheet name="control" sheetId="8" r:id="rId2"/>
    <sheet name="wall-vision" sheetId="9" r:id="rId3"/>
    <sheet name="very-high-iteration" sheetId="10" r:id="rId4"/>
    <sheet name="spatial-linear-state" sheetId="11" r:id="rId5"/>
    <sheet name="spatial-linear-binned-state" sheetId="12" r:id="rId6"/>
    <sheet name="small-batchsize-small-poolsize" sheetId="13" r:id="rId7"/>
    <sheet name="small-batchsize" sheetId="14" r:id="rId8"/>
    <sheet name="random-training" sheetId="15" r:id="rId9"/>
    <sheet name="prio-sweep" sheetId="16" r:id="rId10"/>
    <sheet name="paddle-vision" sheetId="17" r:id="rId11"/>
    <sheet name="only-ball-vision" sheetId="18" r:id="rId12"/>
    <sheet name=" low-iteration-prio-sweep" sheetId="19" r:id="rId13"/>
    <sheet name="low-iteration-human-ass" sheetId="20" r:id="rId14"/>
    <sheet name="low-iteration" sheetId="21" r:id="rId15"/>
    <sheet name="human-ass" sheetId="22" r:id="rId16"/>
    <sheet name="high-speed-high-iteration" sheetId="23" r:id="rId17"/>
    <sheet name="high-speed" sheetId="24" r:id="rId18"/>
    <sheet name="high-iteration" sheetId="25" r:id="rId19"/>
    <sheet name="hierarchical-learning" sheetId="26" r:id="rId20"/>
    <sheet name="ham3-vision" sheetId="27" r:id="rId21"/>
    <sheet name="full-games" sheetId="28" r:id="rId22"/>
    <sheet name="frame-stacking" sheetId="29" r:id="rId23"/>
    <sheet name="absolute-no-paddle-vision" sheetId="30" r:id="rId24"/>
    <sheet name="fixed-training-sequence" sheetId="31" r:id="rId25"/>
    <sheet name="filter-count-3" sheetId="32" r:id="rId26"/>
    <sheet name="absolute-paddle-vision" sheetId="33" r:id="rId27"/>
    <sheet name="random-baseline" sheetId="34" r:id="rId28"/>
  </sheets>
  <calcPr calcId="145621"/>
</workbook>
</file>

<file path=xl/calcChain.xml><?xml version="1.0" encoding="utf-8"?>
<calcChain xmlns="http://schemas.openxmlformats.org/spreadsheetml/2006/main">
  <c r="M2" i="5" l="1"/>
  <c r="H2" i="34"/>
  <c r="I28" i="5"/>
  <c r="H28" i="5"/>
  <c r="G28" i="5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" i="34"/>
  <c r="C28" i="5"/>
  <c r="D28" i="5"/>
  <c r="E28" i="5"/>
  <c r="B28" i="5"/>
  <c r="K6" i="5"/>
  <c r="I2" i="12"/>
  <c r="I2" i="23"/>
  <c r="K17" i="5"/>
  <c r="L2" i="5"/>
  <c r="H2" i="16"/>
  <c r="K21" i="5"/>
  <c r="K12" i="5"/>
  <c r="I2" i="18"/>
  <c r="H2" i="27"/>
  <c r="H2" i="26"/>
  <c r="K2" i="5"/>
  <c r="H2" i="8"/>
  <c r="H2" i="30"/>
  <c r="H2" i="33"/>
  <c r="J27" i="5"/>
  <c r="J24" i="5"/>
  <c r="H2" i="17"/>
  <c r="J11" i="5"/>
  <c r="J17" i="5"/>
  <c r="H2" i="23"/>
  <c r="H2" i="24"/>
  <c r="J18" i="5"/>
  <c r="H2" i="25"/>
  <c r="J19" i="5"/>
  <c r="H2" i="31"/>
  <c r="J25" i="5"/>
  <c r="H2" i="32"/>
  <c r="J26" i="5"/>
  <c r="H2" i="29"/>
  <c r="J23" i="5"/>
  <c r="H2" i="15"/>
  <c r="H2" i="9"/>
  <c r="H2" i="18"/>
  <c r="J12" i="5"/>
  <c r="J21" i="5"/>
  <c r="J20" i="5"/>
  <c r="J22" i="5"/>
  <c r="J10" i="5"/>
  <c r="J3" i="5"/>
  <c r="H2" i="12"/>
  <c r="H2" i="11"/>
  <c r="J9" i="5"/>
  <c r="J5" i="5"/>
  <c r="J6" i="5"/>
  <c r="K7" i="5"/>
  <c r="I2" i="13"/>
  <c r="J7" i="5"/>
  <c r="H2" i="13"/>
  <c r="J8" i="5"/>
  <c r="H2" i="14"/>
  <c r="K4" i="5"/>
  <c r="I2" i="10"/>
  <c r="J4" i="5"/>
  <c r="H2" i="10"/>
  <c r="J14" i="5"/>
  <c r="H2" i="20"/>
  <c r="J16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I2" i="22"/>
  <c r="H27" i="5" l="1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B2" i="5" l="1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sharedStrings.xml><?xml version="1.0" encoding="utf-8"?>
<sst xmlns="http://schemas.openxmlformats.org/spreadsheetml/2006/main" count="171" uniqueCount="50">
  <si>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</si>
  <si>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</si>
  <si>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</si>
  <si>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</si>
  <si>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</si>
  <si>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</si>
  <si>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</si>
  <si>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</si>
  <si>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</si>
  <si>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</si>
  <si>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</si>
  <si>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</si>
  <si>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</si>
  <si>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</si>
  <si>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</si>
  <si>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</si>
  <si>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</si>
  <si>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</si>
  <si>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</si>
  <si>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</si>
  <si>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</si>
  <si>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</si>
  <si>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</si>
  <si>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</si>
  <si>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</si>
  <si>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</si>
  <si>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</si>
  <si>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</si>
  <si>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</si>
  <si>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</si>
  <si>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</si>
  <si>
    <t>Agg Avg</t>
  </si>
  <si>
    <t>Agg Median</t>
  </si>
  <si>
    <t>low-iteration-prio-sweep</t>
  </si>
  <si>
    <t>T-test vs Control</t>
  </si>
  <si>
    <t>Stdev</t>
  </si>
  <si>
    <t>%</t>
  </si>
  <si>
    <t>T-Test vs low-iteration</t>
  </si>
  <si>
    <t>T-test vs small batchsize</t>
  </si>
  <si>
    <t>T.test vs control</t>
  </si>
  <si>
    <t>vs control</t>
  </si>
  <si>
    <t>vs smallbatch</t>
  </si>
  <si>
    <t>vs full games</t>
  </si>
  <si>
    <t>vs ham 3</t>
  </si>
  <si>
    <t>vs high iteration</t>
  </si>
  <si>
    <t>vs spatial-linear</t>
  </si>
  <si>
    <t>LapTime</t>
  </si>
  <si>
    <t>Crashes</t>
  </si>
  <si>
    <t>Distance</t>
  </si>
  <si>
    <t>random-baseline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</si>
</sst>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"/>
    <numFmt numFmtId="165" formatCode="0.00000"/>
    <numFmt numFmtId="170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2" fontId="0" fillId="0" borderId="0" xfId="0" applyNumberFormat="1"/>
    <xf numFmtId="2" fontId="19" fillId="0" borderId="0" xfId="0" applyNumberFormat="1" applyFont="1"/>
    <xf numFmtId="2" fontId="20" fillId="0" borderId="0" xfId="0" applyNumberFormat="1" applyFont="1"/>
    <xf numFmtId="2" fontId="21" fillId="0" borderId="0" xfId="0" applyNumberFormat="1" applyFont="1"/>
    <xf numFmtId="2" fontId="18" fillId="0" borderId="0" xfId="0" applyNumberFormat="1" applyFon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8"/>
  <sheetViews>
    <sheetView tabSelected="1" workbookViewId="0">
      <selection activeCell="J18" sqref="J18"/>
    </sheetView>
  </sheetViews>
  <sheetFormatPr defaultRowHeight="14.4" x14ac:dyDescent="0.3"/>
  <cols>
    <col min="1" max="1" width="31.88671875" customWidth="1"/>
    <col min="2" max="2" width="10" bestFit="1" customWidth="1"/>
    <col min="3" max="3" width="11" bestFit="1" customWidth="1"/>
    <col min="4" max="4" width="8.88671875" bestFit="1" customWidth="1"/>
    <col min="5" max="5" width="8.44140625" customWidth="1"/>
    <col min="7" max="7" width="10.44140625" bestFit="1" customWidth="1"/>
  </cols>
  <sheetData>
    <row r="1" spans="1:13" x14ac:dyDescent="0.3">
      <c r="B1" t="s">
        <v>0</v>
      </c>
      <c r="C1" t="s">
        <v>3</v>
      </c>
      <c r="D1" t="s">
        <v>4</v>
      </c>
      <c r="E1" t="s">
        <v>5</v>
      </c>
      <c r="G1" t="s">
        <v>31</v>
      </c>
      <c r="H1" t="s">
        <v>32</v>
      </c>
      <c r="I1" t="s">
        <v>35</v>
      </c>
      <c r="J1" t="s">
        <v>36</v>
      </c>
    </row>
    <row r="2" spans="1:13" x14ac:dyDescent="0.3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  <c r="G2" s="4">
        <f>AVERAGE(control!F2:F21)</f>
        <v>27.5</v>
      </c>
      <c r="H2" s="4">
        <f>MEDIAN(control!F2:F21)</f>
        <v>21</v>
      </c>
      <c r="I2" s="4">
        <f>_xlfn.STDEV.S(control!F2:F21)</f>
        <v>25.494065356883603</v>
      </c>
      <c r="J2" s="5"/>
      <c r="K2" s="5">
        <f>(G2-G22)/ABS(G22)%</f>
        <v>41.025641025641022</v>
      </c>
      <c r="L2" s="5">
        <f>(G2-G20)/ABS(G20)%</f>
        <v>59.88372093023257</v>
      </c>
      <c r="M2" s="5">
        <f>(G2-G28)/ABS(G28)%</f>
        <v>1517.6470588235293</v>
      </c>
    </row>
    <row r="3" spans="1:13" x14ac:dyDescent="0.3">
      <c r="A3" t="s">
        <v>7</v>
      </c>
      <c r="B3">
        <f>AVERAGE('wall-vision'!A2:A21)</f>
        <v>991.6600000000002</v>
      </c>
      <c r="C3">
        <f>AVERAGE('wall-vision'!B2:B21)</f>
        <v>14</v>
      </c>
      <c r="D3">
        <f>AVERAGE('wall-vision'!C2:C21)</f>
        <v>0.1</v>
      </c>
      <c r="E3" s="1">
        <f>AVERAGE('wall-vision'!D2:D21)</f>
        <v>5357.8</v>
      </c>
      <c r="G3" s="4">
        <f>AVERAGE('wall-vision'!F2:F21)</f>
        <v>16</v>
      </c>
      <c r="H3" s="4">
        <f>MEDIAN('wall-vision'!F2:F21)</f>
        <v>14</v>
      </c>
      <c r="I3" s="4">
        <f>_xlfn.STDEV.S('wall-vision'!F2:F21)</f>
        <v>15.269508660623043</v>
      </c>
      <c r="J3" s="6">
        <f>(G3-G2)/ABS(G2)%</f>
        <v>-41.818181818181813</v>
      </c>
      <c r="K3" s="5"/>
      <c r="L3" s="5"/>
    </row>
    <row r="4" spans="1:13" x14ac:dyDescent="0.25">
      <c r="A4" t="s">
        <v>8</v>
      </c>
      <c r="B4">
        <f>AVERAGE('very-high-iteration'!A2:A21)</f>
        <v>1193.374</v>
      </c>
      <c r="C4">
        <f>AVERAGE('very-high-iteration'!B2:B21)</f>
        <v>32.049999999999997</v>
      </c>
      <c r="D4">
        <f>AVERAGE('very-high-iteration'!C2:C21)</f>
        <v>0.3</v>
      </c>
      <c r="E4" s="1">
        <f>AVERAGE('very-high-iteration'!D2:D21)</f>
        <v>4442.8500000000004</v>
      </c>
      <c r="G4" s="4">
        <f>AVERAGE('very-high-iteration'!F2:F21)</f>
        <v>38.049999999999997</v>
      </c>
      <c r="H4" s="4">
        <f>MEDIAN('very-high-iteration'!F2:F21)</f>
        <v>37.5</v>
      </c>
      <c r="I4" s="4">
        <f>_xlfn.STDEV.S('very-high-iteration'!F2:F21)</f>
        <v>20.793407356027156</v>
      </c>
      <c r="J4" s="5">
        <f>(G4-G8)/ABS(G8)%</f>
        <v>1554.3478260869565</v>
      </c>
      <c r="K4" s="5">
        <f>(G4-G2)/ABS(G2)%</f>
        <v>38.363636363636353</v>
      </c>
      <c r="L4" s="5"/>
    </row>
    <row r="5" spans="1:13" x14ac:dyDescent="0.3">
      <c r="A5" t="s">
        <v>9</v>
      </c>
      <c r="B5">
        <f>AVERAGE('spatial-linear-state'!A2:A21)</f>
        <v>749.69249999999988</v>
      </c>
      <c r="C5">
        <f>AVERAGE('spatial-linear-state'!B2:B21)</f>
        <v>17.55</v>
      </c>
      <c r="D5">
        <f>AVERAGE('spatial-linear-state'!C2:C21)</f>
        <v>0.15</v>
      </c>
      <c r="E5" s="1">
        <f>AVERAGE('spatial-linear-state'!D2:D21)</f>
        <v>4204.5</v>
      </c>
      <c r="G5" s="4">
        <f>AVERAGE('spatial-linear-state'!F2:F21)</f>
        <v>20.55</v>
      </c>
      <c r="H5" s="4">
        <f>MEDIAN('spatial-linear-state'!F2:F21)</f>
        <v>14.5</v>
      </c>
      <c r="I5" s="4">
        <f>_xlfn.STDEV.S('spatial-linear-state'!F2:F21)</f>
        <v>21.266417806386421</v>
      </c>
      <c r="J5" s="7">
        <f>(G5-G2)/ABS(G2)%</f>
        <v>-25.27272727272727</v>
      </c>
      <c r="K5" s="5"/>
      <c r="L5" s="5"/>
    </row>
    <row r="6" spans="1:13" x14ac:dyDescent="0.3">
      <c r="A6" t="s">
        <v>10</v>
      </c>
      <c r="B6">
        <f>AVERAGE('spatial-linear-binned-state'!A2:A21)</f>
        <v>387.72950000000003</v>
      </c>
      <c r="C6">
        <f>AVERAGE('spatial-linear-binned-state'!B2:B21)</f>
        <v>39.25</v>
      </c>
      <c r="D6">
        <f>AVERAGE('spatial-linear-binned-state'!C2:C21)</f>
        <v>0.2</v>
      </c>
      <c r="E6" s="1">
        <f>AVERAGE('spatial-linear-binned-state'!D2:D21)</f>
        <v>3088.2</v>
      </c>
      <c r="G6" s="4">
        <f>AVERAGE('spatial-linear-binned-state'!F2:F21)</f>
        <v>43.25</v>
      </c>
      <c r="H6" s="4">
        <f>MEDIAN('spatial-linear-binned-state'!F2:F21)</f>
        <v>40</v>
      </c>
      <c r="I6" s="4">
        <f>_xlfn.STDEV.S('spatial-linear-binned-state'!F2:F21)</f>
        <v>20.960803017964142</v>
      </c>
      <c r="J6" s="6">
        <f>(G6-G2)/ABS(G2)%</f>
        <v>57.272727272727266</v>
      </c>
      <c r="K6" s="6">
        <f>(G6-G5)/ABS(G5)%</f>
        <v>110.46228710462286</v>
      </c>
      <c r="L6" s="5"/>
    </row>
    <row r="7" spans="1:13" x14ac:dyDescent="0.3">
      <c r="A7" t="s">
        <v>11</v>
      </c>
      <c r="B7">
        <f>AVERAGE('small-batchsize-small-poolsize'!A2:A21)</f>
        <v>145.43249999999998</v>
      </c>
      <c r="C7">
        <f>AVERAGE('small-batchsize-small-poolsize'!B2:B21)</f>
        <v>2.15</v>
      </c>
      <c r="D7">
        <f>AVERAGE('small-batchsize-small-poolsize'!C2:C21)</f>
        <v>0</v>
      </c>
      <c r="E7" s="1">
        <f>AVERAGE('small-batchsize-small-poolsize'!D2:D21)</f>
        <v>5855.7</v>
      </c>
      <c r="G7" s="4">
        <f>AVERAGE('small-batchsize-small-poolsize'!F2:F21)</f>
        <v>2.15</v>
      </c>
      <c r="H7" s="4">
        <f>MEDIAN('small-batchsize-small-poolsize'!F2:F21)</f>
        <v>2</v>
      </c>
      <c r="I7" s="4">
        <f>_xlfn.STDEV.S('small-batchsize-small-poolsize'!F2:F21)</f>
        <v>1.9269556026896006</v>
      </c>
      <c r="J7" s="6">
        <f>(G7-G2)/ABS(G2)%</f>
        <v>-92.181818181818173</v>
      </c>
      <c r="K7" s="7">
        <f>(G7-G8)/ABS(G8)%</f>
        <v>-6.5217391304347787</v>
      </c>
      <c r="L7" s="5"/>
    </row>
    <row r="8" spans="1:13" x14ac:dyDescent="0.3">
      <c r="A8" t="s">
        <v>12</v>
      </c>
      <c r="B8">
        <f>AVERAGE('small-batchsize'!A2:A21)</f>
        <v>146.24449999999999</v>
      </c>
      <c r="C8">
        <f>AVERAGE('small-batchsize'!B2:B21)</f>
        <v>2.2999999999999998</v>
      </c>
      <c r="D8">
        <f>AVERAGE('small-batchsize'!C2:C21)</f>
        <v>0</v>
      </c>
      <c r="E8" s="1">
        <f>AVERAGE('small-batchsize'!D2:D21)</f>
        <v>5915.3</v>
      </c>
      <c r="G8" s="4">
        <f>AVERAGE('small-batchsize'!F2:F21)</f>
        <v>2.2999999999999998</v>
      </c>
      <c r="H8" s="4">
        <f>MEDIAN('small-batchsize'!F2:F21)</f>
        <v>2</v>
      </c>
      <c r="I8" s="4">
        <f>_xlfn.STDEV.S('small-batchsize'!F2:F21)</f>
        <v>2.0026298499197184</v>
      </c>
      <c r="J8" s="6">
        <f>(G8-G2)/ABS(G2)%</f>
        <v>-91.636363636363626</v>
      </c>
      <c r="K8" s="5"/>
      <c r="L8" s="5"/>
    </row>
    <row r="9" spans="1:13" x14ac:dyDescent="0.3">
      <c r="A9" t="s">
        <v>13</v>
      </c>
      <c r="B9">
        <f>AVERAGE('random-training'!A2:A21)</f>
        <v>362.47149999999999</v>
      </c>
      <c r="C9">
        <f>AVERAGE('random-training'!B2:B21)</f>
        <v>29.4</v>
      </c>
      <c r="D9">
        <f>AVERAGE('random-training'!C2:C21)</f>
        <v>0.25</v>
      </c>
      <c r="E9" s="1">
        <f>AVERAGE('random-training'!D2:D21)</f>
        <v>4757.7</v>
      </c>
      <c r="G9" s="4">
        <f>AVERAGE('random-training'!F2:F21)</f>
        <v>34.4</v>
      </c>
      <c r="H9" s="4">
        <f>MEDIAN('random-training'!F2:F21)</f>
        <v>32</v>
      </c>
      <c r="I9" s="4">
        <f>_xlfn.STDEV.S('random-training'!F2:F21)</f>
        <v>18.896950464085606</v>
      </c>
      <c r="J9" s="7">
        <f>(G9-G2)/ABS(G2)%</f>
        <v>25.090909090909083</v>
      </c>
      <c r="K9" s="5"/>
      <c r="L9" s="5"/>
    </row>
    <row r="10" spans="1:13" x14ac:dyDescent="0.25">
      <c r="A10" t="s">
        <v>14</v>
      </c>
      <c r="B10">
        <f>AVERAGE('prio-sweep'!A2:A21)</f>
        <v>160.12350000000001</v>
      </c>
      <c r="C10">
        <f>AVERAGE('prio-sweep'!B2:B21)</f>
        <v>4.45</v>
      </c>
      <c r="D10">
        <f>AVERAGE('prio-sweep'!C2:C21)</f>
        <v>0</v>
      </c>
      <c r="E10" s="1">
        <f>AVERAGE('prio-sweep'!D2:D21)</f>
        <v>6028.85</v>
      </c>
      <c r="G10" s="4">
        <f>AVERAGE('prio-sweep'!F2:F21)</f>
        <v>4.45</v>
      </c>
      <c r="H10" s="4">
        <f>MEDIAN('prio-sweep'!F2:F21)</f>
        <v>3</v>
      </c>
      <c r="I10" s="4">
        <f>_xlfn.STDEV.S('prio-sweep'!F2:F21)</f>
        <v>3.9798836269683222</v>
      </c>
      <c r="J10" s="5">
        <f>(G10-G2)/ABS(G2)%</f>
        <v>-83.818181818181813</v>
      </c>
      <c r="K10" s="5"/>
      <c r="L10" s="5"/>
    </row>
    <row r="11" spans="1:13" x14ac:dyDescent="0.3">
      <c r="A11" t="s">
        <v>15</v>
      </c>
      <c r="B11">
        <f>AVERAGE('paddle-vision'!A2:A21)</f>
        <v>746.28549999999996</v>
      </c>
      <c r="C11">
        <f>AVERAGE('paddle-vision'!B2:B21)</f>
        <v>13.35</v>
      </c>
      <c r="D11">
        <f>AVERAGE('paddle-vision'!C2:C21)</f>
        <v>0.1</v>
      </c>
      <c r="E11" s="1">
        <f>AVERAGE('paddle-vision'!D2:D21)</f>
        <v>5330.6</v>
      </c>
      <c r="G11" s="4">
        <f>AVERAGE('paddle-vision'!F2:F21)</f>
        <v>15.35</v>
      </c>
      <c r="H11" s="4">
        <f>MEDIAN('paddle-vision'!F2:F21)</f>
        <v>8.5</v>
      </c>
      <c r="I11" s="4">
        <f>_xlfn.STDEV.S('paddle-vision'!F2:F21)</f>
        <v>21.959951586563449</v>
      </c>
      <c r="J11" s="8">
        <f>(G11-G2)/ABS(G2)%</f>
        <v>-44.18181818181818</v>
      </c>
      <c r="K11" s="5"/>
      <c r="L11" s="5"/>
    </row>
    <row r="12" spans="1:13" x14ac:dyDescent="0.3">
      <c r="A12" t="s">
        <v>16</v>
      </c>
      <c r="B12">
        <f>AVERAGE('only-ball-vision'!A2:A21)</f>
        <v>323.63849999999996</v>
      </c>
      <c r="C12">
        <f>AVERAGE('only-ball-vision'!B2:B21)</f>
        <v>10.35</v>
      </c>
      <c r="D12">
        <f>AVERAGE('only-ball-vision'!C2:C21)</f>
        <v>0.1</v>
      </c>
      <c r="E12" s="1">
        <f>AVERAGE('only-ball-vision'!D2:D21)</f>
        <v>5203.8</v>
      </c>
      <c r="G12" s="4">
        <f>AVERAGE('only-ball-vision'!F2:F21)</f>
        <v>12.35</v>
      </c>
      <c r="H12" s="4">
        <f>MEDIAN('only-ball-vision'!F2:F21)</f>
        <v>4.5</v>
      </c>
      <c r="I12" s="4">
        <f>_xlfn.STDEV.S('only-ball-vision'!F2:F21)</f>
        <v>17.008589161454807</v>
      </c>
      <c r="J12" s="6">
        <f>(G12-G2)/ABS(G2)%</f>
        <v>-55.090909090909086</v>
      </c>
      <c r="K12" s="6">
        <f>(G12-G21)/ABS(G21)%</f>
        <v>-56.04982206405694</v>
      </c>
      <c r="L12" s="5"/>
    </row>
    <row r="13" spans="1:13" x14ac:dyDescent="0.25">
      <c r="A13" t="s">
        <v>33</v>
      </c>
      <c r="B13">
        <f>AVERAGE(' low-iteration-prio-sweep'!A2:A21)</f>
        <v>44.718000000000004</v>
      </c>
      <c r="C13">
        <f>AVERAGE(' low-iteration-prio-sweep'!B2:B21)</f>
        <v>3.8</v>
      </c>
      <c r="D13">
        <f>AVERAGE(' low-iteration-prio-sweep'!C2:C21)</f>
        <v>0</v>
      </c>
      <c r="E13" s="1">
        <f>AVERAGE(' low-iteration-prio-sweep'!D2:D21)</f>
        <v>6509.7</v>
      </c>
      <c r="G13" s="4">
        <f>AVERAGE(' low-iteration-prio-sweep'!F2:F21)</f>
        <v>3.8</v>
      </c>
      <c r="H13" s="4">
        <f>MEDIAN(' low-iteration-prio-sweep'!F2:F21)</f>
        <v>2</v>
      </c>
      <c r="I13" s="4">
        <f>_xlfn.STDEV.S(' low-iteration-prio-sweep'!F2:F21)</f>
        <v>4.0859193386685035</v>
      </c>
      <c r="J13" s="5"/>
      <c r="K13" s="5"/>
      <c r="L13" s="5"/>
    </row>
    <row r="14" spans="1:13" x14ac:dyDescent="0.3">
      <c r="A14" t="s">
        <v>17</v>
      </c>
      <c r="B14">
        <f>AVERAGE('low-iteration-human-ass'!A2:A21)</f>
        <v>55.79</v>
      </c>
      <c r="C14">
        <f>AVERAGE('low-iteration-human-ass'!B2:B21)</f>
        <v>4.05</v>
      </c>
      <c r="D14">
        <f>AVERAGE('low-iteration-human-ass'!C2:C21)</f>
        <v>0</v>
      </c>
      <c r="E14" s="1">
        <f>AVERAGE('low-iteration-human-ass'!D2:D21)</f>
        <v>6270.1</v>
      </c>
      <c r="G14" s="4">
        <f>AVERAGE('low-iteration-human-ass'!F2:F21)</f>
        <v>4.05</v>
      </c>
      <c r="H14" s="4">
        <f>MEDIAN('low-iteration-human-ass'!F2:F21)</f>
        <v>2</v>
      </c>
      <c r="I14" s="4">
        <f>_xlfn.STDEV.S('low-iteration-human-ass'!F2:F21)</f>
        <v>3.8726435959241887</v>
      </c>
      <c r="J14" s="7">
        <f>(G14-G15)/ABS(G15)%</f>
        <v>30.645161290322573</v>
      </c>
      <c r="K14" s="5"/>
      <c r="L14" s="5"/>
    </row>
    <row r="15" spans="1:13" x14ac:dyDescent="0.25">
      <c r="A15" t="s">
        <v>18</v>
      </c>
      <c r="B15">
        <f>AVERAGE('low-iteration'!A2:A21)</f>
        <v>64.204999999999998</v>
      </c>
      <c r="C15">
        <f>AVERAGE('low-iteration'!B2:B21)</f>
        <v>3.1</v>
      </c>
      <c r="D15">
        <f>AVERAGE('low-iteration'!C2:C21)</f>
        <v>0</v>
      </c>
      <c r="E15" s="1">
        <f>AVERAGE('low-iteration'!D2:D21)</f>
        <v>5546.05</v>
      </c>
      <c r="G15" s="4">
        <f>AVERAGE('low-iteration'!F2:F21)</f>
        <v>3.1</v>
      </c>
      <c r="H15" s="4">
        <f>MEDIAN('low-iteration'!F2:F21)</f>
        <v>2</v>
      </c>
      <c r="I15" s="4">
        <f>_xlfn.STDEV.S('low-iteration'!F2:F21)</f>
        <v>3.3387675002989701</v>
      </c>
      <c r="J15" s="5"/>
      <c r="K15" s="5"/>
      <c r="L15" s="5"/>
    </row>
    <row r="16" spans="1:13" x14ac:dyDescent="0.25">
      <c r="A16" t="s">
        <v>19</v>
      </c>
      <c r="B16">
        <f>AVERAGE('human-ass'!A2:A21)</f>
        <v>311.72549999999995</v>
      </c>
      <c r="C16">
        <f>AVERAGE('human-ass'!B2:B21)</f>
        <v>21.6</v>
      </c>
      <c r="D16">
        <f>AVERAGE('human-ass'!C2:C21)</f>
        <v>0</v>
      </c>
      <c r="E16" s="1">
        <f>AVERAGE('human-ass'!D2:D21)</f>
        <v>4803</v>
      </c>
      <c r="G16" s="4">
        <f>AVERAGE('human-ass'!F2:F21)</f>
        <v>21.6</v>
      </c>
      <c r="H16" s="4">
        <f>MEDIAN('human-ass'!F2:F21)</f>
        <v>15</v>
      </c>
      <c r="I16" s="4">
        <f>_xlfn.STDEV.S('human-ass'!F2:F21)</f>
        <v>22.493039859148944</v>
      </c>
      <c r="J16" s="5">
        <f>(G16-G2)/ABS(G2)%</f>
        <v>-21.454545454545446</v>
      </c>
      <c r="K16" s="5"/>
      <c r="L16" s="5"/>
    </row>
    <row r="17" spans="1:12" x14ac:dyDescent="0.3">
      <c r="A17" t="s">
        <v>20</v>
      </c>
      <c r="B17">
        <f>AVERAGE('high-speed-high-iteration'!A2:A21)</f>
        <v>566.77299999999991</v>
      </c>
      <c r="C17">
        <f>AVERAGE('high-speed-high-iteration'!B2:B21)</f>
        <v>49.5</v>
      </c>
      <c r="D17">
        <f>AVERAGE('high-speed-high-iteration'!C2:C21)</f>
        <v>0.25</v>
      </c>
      <c r="E17" s="1">
        <f>AVERAGE('high-speed-high-iteration'!D2:D21)</f>
        <v>4552</v>
      </c>
      <c r="G17" s="4">
        <f>AVERAGE('high-speed-high-iteration'!F2:F21)</f>
        <v>54.5</v>
      </c>
      <c r="H17" s="4">
        <f>MEDIAN('high-speed-high-iteration'!F2:F21)</f>
        <v>45.5</v>
      </c>
      <c r="I17" s="4">
        <f>_xlfn.STDEV.S('high-speed-high-iteration'!F2:F21)</f>
        <v>32.825695968089903</v>
      </c>
      <c r="J17" s="6">
        <f>(G17-G2)/ABS(G2)%</f>
        <v>98.181818181818173</v>
      </c>
      <c r="K17" s="9">
        <f>(G17-G19)/ABS(G19)%</f>
        <v>18.478260869565215</v>
      </c>
      <c r="L17" s="5"/>
    </row>
    <row r="18" spans="1:12" x14ac:dyDescent="0.3">
      <c r="A18" t="s">
        <v>21</v>
      </c>
      <c r="B18">
        <f>AVERAGE('high-speed'!A2:A21)</f>
        <v>146.393</v>
      </c>
      <c r="C18">
        <f>AVERAGE('high-speed'!B2:B21)</f>
        <v>24.75</v>
      </c>
      <c r="D18">
        <f>AVERAGE('high-speed'!C2:C21)</f>
        <v>0.25</v>
      </c>
      <c r="E18" s="1">
        <f>AVERAGE('high-speed'!D2:D21)</f>
        <v>4772.1499999999996</v>
      </c>
      <c r="G18" s="4">
        <f>AVERAGE('high-speed'!F2:F21)</f>
        <v>29.75</v>
      </c>
      <c r="H18" s="4">
        <f>MEDIAN('high-speed'!F2:F21)</f>
        <v>21</v>
      </c>
      <c r="I18" s="4">
        <f>_xlfn.STDEV.S('high-speed'!F2:F21)</f>
        <v>27.86787435475895</v>
      </c>
      <c r="J18" s="7">
        <f>(G18-G2)/ABS(G2)%</f>
        <v>8.1818181818181817</v>
      </c>
      <c r="K18" s="5"/>
      <c r="L18" s="5"/>
    </row>
    <row r="19" spans="1:12" x14ac:dyDescent="0.3">
      <c r="A19" t="s">
        <v>22</v>
      </c>
      <c r="B19">
        <f>AVERAGE('high-iteration'!A2:A21)</f>
        <v>1138.0114999999998</v>
      </c>
      <c r="C19">
        <f>AVERAGE('high-iteration'!B2:B21)</f>
        <v>38</v>
      </c>
      <c r="D19">
        <f>AVERAGE('high-iteration'!C2:C21)</f>
        <v>0.4</v>
      </c>
      <c r="E19" s="1">
        <f>AVERAGE('high-iteration'!D2:D21)</f>
        <v>4540.45</v>
      </c>
      <c r="G19" s="4">
        <f>AVERAGE('high-iteration'!F2:F21)</f>
        <v>46</v>
      </c>
      <c r="H19" s="4">
        <f>MEDIAN('high-iteration'!F2:F21)</f>
        <v>39.5</v>
      </c>
      <c r="I19" s="4">
        <f>_xlfn.STDEV.S('high-iteration'!F2:F21)</f>
        <v>22.692451793956788</v>
      </c>
      <c r="J19" s="6">
        <f>(G19-G2)/ABS(G2)%</f>
        <v>67.272727272727266</v>
      </c>
      <c r="K19" s="5"/>
      <c r="L19" s="5"/>
    </row>
    <row r="20" spans="1:12" x14ac:dyDescent="0.25">
      <c r="A20" t="s">
        <v>23</v>
      </c>
      <c r="B20">
        <f>AVERAGE('hierarchical-learning'!A2:A21)</f>
        <v>645.57249999999999</v>
      </c>
      <c r="C20">
        <f>AVERAGE('hierarchical-learning'!B2:B21)</f>
        <v>15.2</v>
      </c>
      <c r="D20">
        <f>AVERAGE('hierarchical-learning'!C2:C21)</f>
        <v>0.1</v>
      </c>
      <c r="E20" s="1">
        <f>AVERAGE('hierarchical-learning'!D2:D21)</f>
        <v>5110.2</v>
      </c>
      <c r="G20" s="4">
        <f>AVERAGE('hierarchical-learning'!F2:F21)</f>
        <v>17.2</v>
      </c>
      <c r="H20" s="4">
        <f>MEDIAN('hierarchical-learning'!F2:F21)</f>
        <v>13</v>
      </c>
      <c r="I20" s="4">
        <f>_xlfn.STDEV.S('hierarchical-learning'!F2:F21)</f>
        <v>16.308215559552863</v>
      </c>
      <c r="J20" s="5">
        <f>(G20-G2)/ABS(G2)%</f>
        <v>-37.454545454545453</v>
      </c>
      <c r="K20" s="5"/>
      <c r="L20" s="5"/>
    </row>
    <row r="21" spans="1:12" x14ac:dyDescent="0.25">
      <c r="A21" t="s">
        <v>24</v>
      </c>
      <c r="B21">
        <f>AVERAGE('ham3-vision'!A2:A21)</f>
        <v>339.38750000000005</v>
      </c>
      <c r="C21">
        <f>AVERAGE('ham3-vision'!B2:B21)</f>
        <v>25.1</v>
      </c>
      <c r="D21">
        <f>AVERAGE('ham3-vision'!C2:C21)</f>
        <v>0.15</v>
      </c>
      <c r="E21" s="1">
        <f>AVERAGE('ham3-vision'!D2:D21)</f>
        <v>4647</v>
      </c>
      <c r="G21" s="4">
        <f>AVERAGE('ham3-vision'!F2:F21)</f>
        <v>28.1</v>
      </c>
      <c r="H21" s="4">
        <f>MEDIAN('ham3-vision'!F2:F21)</f>
        <v>22.5</v>
      </c>
      <c r="I21" s="4">
        <f>_xlfn.STDEV.S('ham3-vision'!F2:F21)</f>
        <v>21.381004850592326</v>
      </c>
      <c r="J21" s="5">
        <f>(G21-G2)/ABS(G2)%</f>
        <v>2.181818181818187</v>
      </c>
      <c r="K21" s="5">
        <f>(G21-G12)/ABS(G12)%</f>
        <v>127.53036437246965</v>
      </c>
      <c r="L21" s="5"/>
    </row>
    <row r="22" spans="1:12" x14ac:dyDescent="0.25">
      <c r="A22" t="s">
        <v>25</v>
      </c>
      <c r="B22">
        <f>AVERAGE('full-games'!A2:A21)</f>
        <v>912.12850000000003</v>
      </c>
      <c r="C22">
        <f>AVERAGE('full-games'!B2:B21)</f>
        <v>16.5</v>
      </c>
      <c r="D22">
        <f>AVERAGE('full-games'!C2:C21)</f>
        <v>0.15</v>
      </c>
      <c r="E22" s="1">
        <f>AVERAGE('full-games'!D2:D21)</f>
        <v>5761.55</v>
      </c>
      <c r="G22" s="4">
        <f>AVERAGE('full-games'!F2:F21)</f>
        <v>19.5</v>
      </c>
      <c r="H22" s="4">
        <f>MEDIAN('full-games'!F2:F21)</f>
        <v>12.5</v>
      </c>
      <c r="I22" s="4">
        <f>_xlfn.STDEV.S('full-games'!F2:F21)</f>
        <v>19.909003517319281</v>
      </c>
      <c r="J22" s="5">
        <f>(G22-G2)/ABS(G2)%</f>
        <v>-29.09090909090909</v>
      </c>
      <c r="K22" s="5"/>
      <c r="L22" s="5"/>
    </row>
    <row r="23" spans="1:12" x14ac:dyDescent="0.3">
      <c r="A23" t="s">
        <v>26</v>
      </c>
      <c r="B23">
        <f>AVERAGE('frame-stacking'!A2:A21)</f>
        <v>1560.0964999999999</v>
      </c>
      <c r="C23">
        <f>AVERAGE('frame-stacking'!B2:B21)</f>
        <v>25</v>
      </c>
      <c r="D23">
        <f>AVERAGE('frame-stacking'!C2:C21)</f>
        <v>0.35</v>
      </c>
      <c r="E23" s="1">
        <f>AVERAGE('frame-stacking'!D2:D21)</f>
        <v>4564.3500000000004</v>
      </c>
      <c r="G23" s="4">
        <f>AVERAGE('frame-stacking'!F2:F21)</f>
        <v>32</v>
      </c>
      <c r="H23" s="4">
        <f>MEDIAN('frame-stacking'!F2:F21)</f>
        <v>21.5</v>
      </c>
      <c r="I23" s="4">
        <f>_xlfn.STDEV.S('frame-stacking'!F2:F21)</f>
        <v>21.76912347436399</v>
      </c>
      <c r="J23" s="7">
        <f>(G23-G2)/ABS(G2)%</f>
        <v>16.363636363636363</v>
      </c>
      <c r="K23" s="5"/>
      <c r="L23" s="5"/>
    </row>
    <row r="24" spans="1:12" x14ac:dyDescent="0.3">
      <c r="A24" t="s">
        <v>27</v>
      </c>
      <c r="B24">
        <f>AVERAGE('absolute-no-paddle-vision'!A2:A21)</f>
        <v>212.09450000000001</v>
      </c>
      <c r="C24">
        <f>AVERAGE('absolute-no-paddle-vision'!B2:B21)</f>
        <v>3.55</v>
      </c>
      <c r="D24">
        <f>AVERAGE('absolute-no-paddle-vision'!C2:C21)</f>
        <v>0</v>
      </c>
      <c r="E24" s="1">
        <f>AVERAGE('absolute-no-paddle-vision'!D2:D21)</f>
        <v>5676.5</v>
      </c>
      <c r="G24" s="4">
        <f>AVERAGE('absolute-no-paddle-vision'!F2:F21)</f>
        <v>3.55</v>
      </c>
      <c r="H24" s="4">
        <f>MEDIAN('absolute-no-paddle-vision'!F2:F21)</f>
        <v>3</v>
      </c>
      <c r="I24" s="4">
        <f>_xlfn.STDEV.S('absolute-no-paddle-vision'!F2:F21)</f>
        <v>1.7006190823220508</v>
      </c>
      <c r="J24" s="6">
        <f>(G24-G2)/ABS(G2)%</f>
        <v>-87.090909090909079</v>
      </c>
      <c r="K24" s="5"/>
      <c r="L24" s="5"/>
    </row>
    <row r="25" spans="1:12" x14ac:dyDescent="0.3">
      <c r="A25" t="s">
        <v>28</v>
      </c>
      <c r="B25">
        <f>AVERAGE('fixed-training-sequence'!A2:A21)</f>
        <v>336.072</v>
      </c>
      <c r="C25">
        <f>AVERAGE('fixed-training-sequence'!B2:B21)</f>
        <v>24.55</v>
      </c>
      <c r="D25">
        <f>AVERAGE('fixed-training-sequence'!C2:C21)</f>
        <v>0.2</v>
      </c>
      <c r="E25" s="1">
        <f>AVERAGE('fixed-training-sequence'!D2:D21)</f>
        <v>4671.3500000000004</v>
      </c>
      <c r="G25" s="4">
        <f>AVERAGE('fixed-training-sequence'!F2:F21)</f>
        <v>28.55</v>
      </c>
      <c r="H25" s="4">
        <f>MEDIAN('fixed-training-sequence'!F2:F21)</f>
        <v>29.5</v>
      </c>
      <c r="I25" s="4">
        <f>_xlfn.STDEV.S('fixed-training-sequence'!F2:F21)</f>
        <v>23.27066144763673</v>
      </c>
      <c r="J25" s="7">
        <f>(G25-G2)/ABS(G2)%</f>
        <v>3.8181818181818206</v>
      </c>
      <c r="K25" s="5"/>
      <c r="L25" s="5"/>
    </row>
    <row r="26" spans="1:12" x14ac:dyDescent="0.3">
      <c r="A26" t="s">
        <v>29</v>
      </c>
      <c r="B26">
        <f>AVERAGE('filter-count-3'!A2:A21)</f>
        <v>817.08199999999988</v>
      </c>
      <c r="C26">
        <f>AVERAGE('filter-count-3'!B2:B21)</f>
        <v>25.05</v>
      </c>
      <c r="D26">
        <f>AVERAGE('filter-count-3'!C2:C21)</f>
        <v>0.1</v>
      </c>
      <c r="E26" s="1">
        <f>AVERAGE('filter-count-3'!D2:D21)</f>
        <v>4357.3500000000004</v>
      </c>
      <c r="G26" s="4">
        <f>AVERAGE('filter-count-3'!F2:F21)</f>
        <v>27.05</v>
      </c>
      <c r="H26" s="4">
        <f>MEDIAN('filter-count-3'!F2:F21)</f>
        <v>22.5</v>
      </c>
      <c r="I26" s="4">
        <f>_xlfn.STDEV.S('filter-count-3'!F2:F21)</f>
        <v>25.065125699181912</v>
      </c>
      <c r="J26" s="7">
        <f>(G26-G2)/ABS(G2)%</f>
        <v>-1.6363636363636336</v>
      </c>
      <c r="K26" s="5"/>
      <c r="L26" s="5"/>
    </row>
    <row r="27" spans="1:12" x14ac:dyDescent="0.3">
      <c r="A27" t="s">
        <v>30</v>
      </c>
      <c r="B27">
        <f>AVERAGE('absolute-paddle-vision'!A2:A21)</f>
        <v>919.15</v>
      </c>
      <c r="C27">
        <f>AVERAGE('absolute-paddle-vision'!B2:B21)</f>
        <v>1.2</v>
      </c>
      <c r="D27">
        <f>AVERAGE('absolute-paddle-vision'!C2:C21)</f>
        <v>0</v>
      </c>
      <c r="E27" s="1">
        <f>AVERAGE('absolute-paddle-vision'!D2:D21)</f>
        <v>5493.45</v>
      </c>
      <c r="G27" s="4">
        <f>AVERAGE('absolute-paddle-vision'!F2:F21)</f>
        <v>1.2</v>
      </c>
      <c r="H27" s="4">
        <f>MEDIAN('absolute-paddle-vision'!F2:F21)</f>
        <v>1</v>
      </c>
      <c r="I27" s="4">
        <f>_xlfn.STDEV.S('absolute-paddle-vision'!F2:F21)</f>
        <v>1.3218806379747876</v>
      </c>
      <c r="J27" s="6">
        <f>(G27-G2)/ABS(G2)%</f>
        <v>-95.636363636363626</v>
      </c>
      <c r="K27" s="5"/>
      <c r="L27" s="5"/>
    </row>
    <row r="28" spans="1:12" x14ac:dyDescent="0.3">
      <c r="A28" t="s">
        <v>49</v>
      </c>
      <c r="B28">
        <f>AVERAGE('random-baseline'!A2:A21)</f>
        <v>1.4309999999999998</v>
      </c>
      <c r="C28">
        <f>AVERAGE('random-baseline'!B2:B21)</f>
        <v>1.7</v>
      </c>
      <c r="D28">
        <f>AVERAGE('random-baseline'!C2:C21)</f>
        <v>0</v>
      </c>
      <c r="E28" s="4">
        <f>AVERAGE('random-baseline'!D2:D21)</f>
        <v>4.8878499999999985</v>
      </c>
      <c r="F28" s="4"/>
      <c r="G28" s="4">
        <f>AVERAGE('random-baseline'!F2:F21)</f>
        <v>1.7</v>
      </c>
      <c r="H28" s="4">
        <f>MEDIAN('random-baseline'!F2:F21)</f>
        <v>2</v>
      </c>
      <c r="I28" s="4">
        <f>_xlfn.STDEV.S('random-baseline'!F2:F21)</f>
        <v>1.0310954828418377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I1" sqref="I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42</v>
      </c>
    </row>
    <row r="2" spans="1:8" x14ac:dyDescent="0.25">
      <c r="A2">
        <v>289.26</v>
      </c>
      <c r="B2">
        <v>3</v>
      </c>
      <c r="C2">
        <v>0</v>
      </c>
      <c r="D2" s="1">
        <v>4167</v>
      </c>
      <c r="F2">
        <f t="shared" ref="F2:F21" si="0">B2+C2*20</f>
        <v>3</v>
      </c>
      <c r="H2">
        <f>_xlfn.T.TEST(F2:F21,'full-games'!F2:F21,1,3)</f>
        <v>0.13803242092549312</v>
      </c>
    </row>
    <row r="3" spans="1:8" x14ac:dyDescent="0.25">
      <c r="A3">
        <v>306.27</v>
      </c>
      <c r="B3">
        <v>15</v>
      </c>
      <c r="C3">
        <v>0</v>
      </c>
      <c r="D3" s="1">
        <v>4936</v>
      </c>
      <c r="F3">
        <f t="shared" si="0"/>
        <v>15</v>
      </c>
    </row>
    <row r="4" spans="1:8" x14ac:dyDescent="0.25">
      <c r="A4">
        <v>292.01</v>
      </c>
      <c r="B4">
        <v>6</v>
      </c>
      <c r="C4">
        <v>0</v>
      </c>
      <c r="D4" s="1">
        <v>3969</v>
      </c>
      <c r="F4">
        <f t="shared" si="0"/>
        <v>6</v>
      </c>
    </row>
    <row r="5" spans="1:8" x14ac:dyDescent="0.25">
      <c r="A5">
        <v>309.95999999999998</v>
      </c>
      <c r="B5">
        <v>27</v>
      </c>
      <c r="C5">
        <v>0</v>
      </c>
      <c r="D5" s="1">
        <v>5009</v>
      </c>
      <c r="F5">
        <f t="shared" si="0"/>
        <v>27</v>
      </c>
    </row>
    <row r="6" spans="1:8" x14ac:dyDescent="0.25">
      <c r="A6">
        <v>334.82</v>
      </c>
      <c r="B6">
        <v>2</v>
      </c>
      <c r="C6">
        <v>0</v>
      </c>
      <c r="D6" s="1">
        <v>4933</v>
      </c>
      <c r="F6">
        <f t="shared" si="0"/>
        <v>2</v>
      </c>
    </row>
    <row r="7" spans="1:8" x14ac:dyDescent="0.25">
      <c r="A7">
        <v>291.83999999999997</v>
      </c>
      <c r="B7">
        <v>9</v>
      </c>
      <c r="C7">
        <v>0</v>
      </c>
      <c r="D7" s="1">
        <v>3377</v>
      </c>
      <c r="F7">
        <f t="shared" si="0"/>
        <v>9</v>
      </c>
    </row>
    <row r="8" spans="1:8" x14ac:dyDescent="0.25">
      <c r="A8">
        <v>303.24</v>
      </c>
      <c r="B8">
        <v>27</v>
      </c>
      <c r="C8">
        <v>1</v>
      </c>
      <c r="D8" s="1">
        <v>5101</v>
      </c>
      <c r="F8">
        <f t="shared" si="0"/>
        <v>47</v>
      </c>
    </row>
    <row r="9" spans="1:8" x14ac:dyDescent="0.25">
      <c r="A9">
        <v>363.53</v>
      </c>
      <c r="B9">
        <v>66</v>
      </c>
      <c r="C9">
        <v>0</v>
      </c>
      <c r="D9" s="1">
        <v>3456</v>
      </c>
      <c r="F9">
        <f t="shared" si="0"/>
        <v>66</v>
      </c>
    </row>
    <row r="10" spans="1:8" x14ac:dyDescent="0.25">
      <c r="A10">
        <v>322.41000000000003</v>
      </c>
      <c r="B10">
        <v>6</v>
      </c>
      <c r="C10">
        <v>0</v>
      </c>
      <c r="D10" s="1">
        <v>3846</v>
      </c>
      <c r="F10">
        <f t="shared" si="0"/>
        <v>6</v>
      </c>
    </row>
    <row r="11" spans="1:8" x14ac:dyDescent="0.25">
      <c r="A11">
        <v>329.32</v>
      </c>
      <c r="B11">
        <v>6</v>
      </c>
      <c r="C11">
        <v>0</v>
      </c>
      <c r="D11" s="1">
        <v>4487</v>
      </c>
      <c r="F11">
        <f t="shared" si="0"/>
        <v>6</v>
      </c>
    </row>
    <row r="12" spans="1:8" x14ac:dyDescent="0.25">
      <c r="A12">
        <v>368.46</v>
      </c>
      <c r="B12">
        <v>36</v>
      </c>
      <c r="C12">
        <v>1</v>
      </c>
      <c r="D12" s="1">
        <v>3576</v>
      </c>
      <c r="F12">
        <f t="shared" si="0"/>
        <v>56</v>
      </c>
    </row>
    <row r="13" spans="1:8" x14ac:dyDescent="0.25">
      <c r="A13">
        <v>348.91</v>
      </c>
      <c r="B13">
        <v>62</v>
      </c>
      <c r="C13">
        <v>1</v>
      </c>
      <c r="D13" s="1">
        <v>3386</v>
      </c>
      <c r="F13">
        <f t="shared" si="0"/>
        <v>82</v>
      </c>
    </row>
    <row r="14" spans="1:8" x14ac:dyDescent="0.25">
      <c r="A14">
        <v>321.67</v>
      </c>
      <c r="B14">
        <v>34</v>
      </c>
      <c r="C14">
        <v>0</v>
      </c>
      <c r="D14" s="1">
        <v>3496</v>
      </c>
      <c r="F14">
        <f t="shared" si="0"/>
        <v>34</v>
      </c>
    </row>
    <row r="15" spans="1:8" x14ac:dyDescent="0.25">
      <c r="A15">
        <v>314.20999999999998</v>
      </c>
      <c r="B15">
        <v>4</v>
      </c>
      <c r="C15">
        <v>0</v>
      </c>
      <c r="D15" s="1">
        <v>5464</v>
      </c>
      <c r="F15">
        <f t="shared" si="0"/>
        <v>4</v>
      </c>
    </row>
    <row r="16" spans="1:8" x14ac:dyDescent="0.25">
      <c r="A16">
        <v>307.33999999999997</v>
      </c>
      <c r="B16">
        <v>1</v>
      </c>
      <c r="C16">
        <v>0</v>
      </c>
      <c r="D16" s="1">
        <v>4808</v>
      </c>
      <c r="F16">
        <f t="shared" si="0"/>
        <v>1</v>
      </c>
    </row>
    <row r="17" spans="1:6" x14ac:dyDescent="0.25">
      <c r="A17">
        <v>315.76</v>
      </c>
      <c r="B17">
        <v>6</v>
      </c>
      <c r="C17">
        <v>0</v>
      </c>
      <c r="D17" s="1">
        <v>6138</v>
      </c>
      <c r="F17">
        <f t="shared" si="0"/>
        <v>6</v>
      </c>
    </row>
    <row r="18" spans="1:6" x14ac:dyDescent="0.25">
      <c r="A18">
        <v>354.73</v>
      </c>
      <c r="B18">
        <v>27</v>
      </c>
      <c r="C18">
        <v>0</v>
      </c>
      <c r="D18" s="1">
        <v>6302</v>
      </c>
      <c r="F18">
        <f t="shared" si="0"/>
        <v>27</v>
      </c>
    </row>
    <row r="19" spans="1:6" x14ac:dyDescent="0.25">
      <c r="A19">
        <v>345.95</v>
      </c>
      <c r="B19">
        <v>37</v>
      </c>
      <c r="C19">
        <v>1</v>
      </c>
      <c r="D19" s="1">
        <v>4693</v>
      </c>
      <c r="F19">
        <f t="shared" si="0"/>
        <v>57</v>
      </c>
    </row>
    <row r="20" spans="1:6" x14ac:dyDescent="0.25">
      <c r="A20">
        <v>344.28</v>
      </c>
      <c r="B20">
        <v>35</v>
      </c>
      <c r="C20">
        <v>1</v>
      </c>
      <c r="D20" s="1">
        <v>4001</v>
      </c>
      <c r="F20">
        <f t="shared" si="0"/>
        <v>55</v>
      </c>
    </row>
    <row r="21" spans="1:6" x14ac:dyDescent="0.25">
      <c r="A21">
        <v>347.93</v>
      </c>
      <c r="B21">
        <v>41</v>
      </c>
      <c r="C21">
        <v>0</v>
      </c>
      <c r="D21" s="1">
        <v>3357</v>
      </c>
      <c r="F21">
        <f t="shared" si="0"/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931.36</v>
      </c>
      <c r="B2">
        <v>20</v>
      </c>
      <c r="C2">
        <v>0</v>
      </c>
      <c r="D2" s="1">
        <v>5568</v>
      </c>
      <c r="F2">
        <f t="shared" ref="F2:F21" si="0">B2+C2*20</f>
        <v>20</v>
      </c>
      <c r="H2">
        <f>_xlfn.T.TEST(F2:F21,control!F2:F21,1,3)</f>
        <v>4.6717904024810616E-2</v>
      </c>
    </row>
    <row r="3" spans="1:8" x14ac:dyDescent="0.25">
      <c r="A3">
        <v>1004.05</v>
      </c>
      <c r="B3">
        <v>13</v>
      </c>
      <c r="C3">
        <v>0</v>
      </c>
      <c r="D3" s="1">
        <v>4564</v>
      </c>
      <c r="F3">
        <f t="shared" si="0"/>
        <v>13</v>
      </c>
    </row>
    <row r="4" spans="1:8" x14ac:dyDescent="0.25">
      <c r="A4">
        <v>975.92</v>
      </c>
      <c r="B4">
        <v>0</v>
      </c>
      <c r="C4">
        <v>0</v>
      </c>
      <c r="D4" s="1">
        <v>4204</v>
      </c>
      <c r="F4">
        <f t="shared" si="0"/>
        <v>0</v>
      </c>
    </row>
    <row r="5" spans="1:8" x14ac:dyDescent="0.25">
      <c r="A5">
        <v>1118.6199999999999</v>
      </c>
      <c r="B5">
        <v>1</v>
      </c>
      <c r="C5">
        <v>0</v>
      </c>
      <c r="D5" s="1">
        <v>4410</v>
      </c>
      <c r="F5">
        <f t="shared" si="0"/>
        <v>1</v>
      </c>
    </row>
    <row r="6" spans="1:8" x14ac:dyDescent="0.25">
      <c r="A6">
        <v>1045.46</v>
      </c>
      <c r="B6">
        <v>16</v>
      </c>
      <c r="C6">
        <v>0</v>
      </c>
      <c r="D6" s="1">
        <v>5143</v>
      </c>
      <c r="F6">
        <f t="shared" si="0"/>
        <v>16</v>
      </c>
    </row>
    <row r="7" spans="1:8" x14ac:dyDescent="0.25">
      <c r="A7">
        <v>1093.77</v>
      </c>
      <c r="B7">
        <v>9</v>
      </c>
      <c r="C7">
        <v>0</v>
      </c>
      <c r="D7" s="1">
        <v>5960</v>
      </c>
      <c r="F7">
        <f t="shared" si="0"/>
        <v>9</v>
      </c>
    </row>
    <row r="8" spans="1:8" x14ac:dyDescent="0.25">
      <c r="A8">
        <v>948.79</v>
      </c>
      <c r="B8">
        <v>18</v>
      </c>
      <c r="C8">
        <v>0</v>
      </c>
      <c r="D8" s="1">
        <v>5649</v>
      </c>
      <c r="F8">
        <f t="shared" si="0"/>
        <v>18</v>
      </c>
    </row>
    <row r="9" spans="1:8" x14ac:dyDescent="0.25">
      <c r="A9">
        <v>974.59</v>
      </c>
      <c r="B9">
        <v>13</v>
      </c>
      <c r="C9">
        <v>0</v>
      </c>
      <c r="D9" s="1">
        <v>4185</v>
      </c>
      <c r="F9">
        <f t="shared" si="0"/>
        <v>13</v>
      </c>
    </row>
    <row r="10" spans="1:8" x14ac:dyDescent="0.25">
      <c r="A10">
        <v>1125.1199999999999</v>
      </c>
      <c r="B10">
        <v>35</v>
      </c>
      <c r="C10">
        <v>1</v>
      </c>
      <c r="D10" s="1">
        <v>4042</v>
      </c>
      <c r="F10">
        <f t="shared" si="0"/>
        <v>55</v>
      </c>
    </row>
    <row r="11" spans="1:8" x14ac:dyDescent="0.25">
      <c r="A11">
        <v>782.66</v>
      </c>
      <c r="B11">
        <v>0</v>
      </c>
      <c r="C11">
        <v>0</v>
      </c>
      <c r="D11" s="1">
        <v>4819</v>
      </c>
      <c r="F11">
        <f t="shared" si="0"/>
        <v>0</v>
      </c>
    </row>
    <row r="12" spans="1:8" x14ac:dyDescent="0.25">
      <c r="A12">
        <v>999.35</v>
      </c>
      <c r="B12">
        <v>11</v>
      </c>
      <c r="C12">
        <v>0</v>
      </c>
      <c r="D12" s="1">
        <v>9073</v>
      </c>
      <c r="F12">
        <f t="shared" si="0"/>
        <v>11</v>
      </c>
    </row>
    <row r="13" spans="1:8" x14ac:dyDescent="0.25">
      <c r="A13">
        <v>928.41</v>
      </c>
      <c r="B13">
        <v>16</v>
      </c>
      <c r="C13">
        <v>0</v>
      </c>
      <c r="D13" s="1">
        <v>5137</v>
      </c>
      <c r="F13">
        <f t="shared" si="0"/>
        <v>16</v>
      </c>
    </row>
    <row r="14" spans="1:8" x14ac:dyDescent="0.25">
      <c r="A14">
        <v>1019.02</v>
      </c>
      <c r="B14">
        <v>20</v>
      </c>
      <c r="C14">
        <v>0</v>
      </c>
      <c r="D14" s="1">
        <v>6884</v>
      </c>
      <c r="F14">
        <f t="shared" si="0"/>
        <v>20</v>
      </c>
    </row>
    <row r="15" spans="1:8" x14ac:dyDescent="0.25">
      <c r="A15">
        <v>991.43</v>
      </c>
      <c r="B15">
        <v>0</v>
      </c>
      <c r="C15">
        <v>0</v>
      </c>
      <c r="D15" s="1">
        <v>4451</v>
      </c>
      <c r="F15">
        <f t="shared" si="0"/>
        <v>0</v>
      </c>
    </row>
    <row r="16" spans="1:8" x14ac:dyDescent="0.25">
      <c r="A16">
        <v>884.86</v>
      </c>
      <c r="B16">
        <v>35</v>
      </c>
      <c r="C16">
        <v>0</v>
      </c>
      <c r="D16" s="1">
        <v>5934</v>
      </c>
      <c r="F16">
        <f t="shared" si="0"/>
        <v>35</v>
      </c>
    </row>
    <row r="17" spans="1:6" x14ac:dyDescent="0.25">
      <c r="A17">
        <v>987.31</v>
      </c>
      <c r="B17">
        <v>28</v>
      </c>
      <c r="C17">
        <v>1</v>
      </c>
      <c r="D17" s="1">
        <v>4809</v>
      </c>
      <c r="F17">
        <f t="shared" si="0"/>
        <v>48</v>
      </c>
    </row>
    <row r="18" spans="1:6" x14ac:dyDescent="0.25">
      <c r="A18">
        <v>785.27</v>
      </c>
      <c r="B18">
        <v>3</v>
      </c>
      <c r="C18">
        <v>0</v>
      </c>
      <c r="D18" s="1">
        <v>5676</v>
      </c>
      <c r="F18">
        <f t="shared" si="0"/>
        <v>3</v>
      </c>
    </row>
    <row r="19" spans="1:6" x14ac:dyDescent="0.25">
      <c r="A19">
        <v>921.72</v>
      </c>
      <c r="B19">
        <v>24</v>
      </c>
      <c r="C19">
        <v>0</v>
      </c>
      <c r="D19" s="1">
        <v>6169</v>
      </c>
      <c r="F19">
        <f t="shared" si="0"/>
        <v>24</v>
      </c>
    </row>
    <row r="20" spans="1:6" x14ac:dyDescent="0.25">
      <c r="A20">
        <v>1139.8399999999999</v>
      </c>
      <c r="B20">
        <v>15</v>
      </c>
      <c r="C20">
        <v>0</v>
      </c>
      <c r="D20" s="1">
        <v>6462</v>
      </c>
      <c r="F20">
        <f t="shared" si="0"/>
        <v>15</v>
      </c>
    </row>
    <row r="21" spans="1:6" x14ac:dyDescent="0.25">
      <c r="A21">
        <v>1175.6500000000001</v>
      </c>
      <c r="B21">
        <v>3</v>
      </c>
      <c r="C21">
        <v>0</v>
      </c>
      <c r="D21" s="1">
        <v>4017</v>
      </c>
      <c r="F21">
        <f t="shared" si="0"/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1"/>
  <sheetViews>
    <sheetView workbookViewId="0">
      <selection activeCell="I2" sqref="I2"/>
    </sheetView>
  </sheetViews>
  <sheetFormatPr defaultRowHeight="14.4" x14ac:dyDescent="0.3"/>
  <cols>
    <col min="8" max="8" width="12" bestFit="1" customWidth="1"/>
  </cols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38</v>
      </c>
      <c r="I1" t="s">
        <v>39</v>
      </c>
    </row>
    <row r="2" spans="1:9" x14ac:dyDescent="0.25">
      <c r="A2">
        <v>1260.3399999999999</v>
      </c>
      <c r="B2">
        <v>45</v>
      </c>
      <c r="C2">
        <v>0</v>
      </c>
      <c r="D2" s="1">
        <v>2527</v>
      </c>
      <c r="F2">
        <f t="shared" ref="F2:F21" si="0">B2+C2*20</f>
        <v>45</v>
      </c>
      <c r="H2" s="2">
        <f>_xlfn.T.TEST(F2:F21,'small-batchsize'!F2:F21,1,3)</f>
        <v>1.4245696101361461E-7</v>
      </c>
      <c r="I2">
        <f>_xlfn.T.TEST(F2:F21,control!F2:F21,1,3)</f>
        <v>8.0019848496401105E-2</v>
      </c>
    </row>
    <row r="3" spans="1:9" x14ac:dyDescent="0.25">
      <c r="A3">
        <v>1180.45</v>
      </c>
      <c r="B3">
        <v>36</v>
      </c>
      <c r="C3">
        <v>0</v>
      </c>
      <c r="D3" s="1">
        <v>5259</v>
      </c>
      <c r="F3">
        <f t="shared" si="0"/>
        <v>36</v>
      </c>
    </row>
    <row r="4" spans="1:9" x14ac:dyDescent="0.25">
      <c r="A4">
        <v>1251.0999999999999</v>
      </c>
      <c r="B4">
        <v>11</v>
      </c>
      <c r="C4">
        <v>0</v>
      </c>
      <c r="D4" s="1">
        <v>3355</v>
      </c>
      <c r="F4">
        <f t="shared" si="0"/>
        <v>11</v>
      </c>
    </row>
    <row r="5" spans="1:9" x14ac:dyDescent="0.25">
      <c r="A5">
        <v>1196.68</v>
      </c>
      <c r="B5">
        <v>39</v>
      </c>
      <c r="C5">
        <v>0</v>
      </c>
      <c r="D5" s="1">
        <v>3686</v>
      </c>
      <c r="F5">
        <f t="shared" si="0"/>
        <v>39</v>
      </c>
    </row>
    <row r="6" spans="1:9" x14ac:dyDescent="0.25">
      <c r="A6">
        <v>1242.29</v>
      </c>
      <c r="B6">
        <v>39</v>
      </c>
      <c r="C6">
        <v>0</v>
      </c>
      <c r="D6" s="1">
        <v>4132</v>
      </c>
      <c r="F6">
        <f t="shared" si="0"/>
        <v>39</v>
      </c>
    </row>
    <row r="7" spans="1:9" x14ac:dyDescent="0.25">
      <c r="A7">
        <v>1188</v>
      </c>
      <c r="B7">
        <v>14</v>
      </c>
      <c r="C7">
        <v>0</v>
      </c>
      <c r="D7" s="1">
        <v>8404</v>
      </c>
      <c r="F7">
        <f t="shared" si="0"/>
        <v>14</v>
      </c>
    </row>
    <row r="8" spans="1:9" x14ac:dyDescent="0.25">
      <c r="A8">
        <v>1193.95</v>
      </c>
      <c r="B8">
        <v>39</v>
      </c>
      <c r="C8">
        <v>0</v>
      </c>
      <c r="D8" s="1">
        <v>4278</v>
      </c>
      <c r="F8">
        <f t="shared" si="0"/>
        <v>39</v>
      </c>
    </row>
    <row r="9" spans="1:9" x14ac:dyDescent="0.25">
      <c r="A9">
        <v>1241.43</v>
      </c>
      <c r="B9">
        <v>25</v>
      </c>
      <c r="C9">
        <v>0</v>
      </c>
      <c r="D9" s="1">
        <v>5861</v>
      </c>
      <c r="F9">
        <f t="shared" si="0"/>
        <v>25</v>
      </c>
    </row>
    <row r="10" spans="1:9" x14ac:dyDescent="0.25">
      <c r="A10">
        <v>1192.48</v>
      </c>
      <c r="B10">
        <v>12</v>
      </c>
      <c r="C10">
        <v>0</v>
      </c>
      <c r="D10" s="1">
        <v>4215</v>
      </c>
      <c r="F10">
        <f t="shared" si="0"/>
        <v>12</v>
      </c>
    </row>
    <row r="11" spans="1:9" x14ac:dyDescent="0.25">
      <c r="A11">
        <v>1194.97</v>
      </c>
      <c r="B11">
        <v>44</v>
      </c>
      <c r="C11">
        <v>2</v>
      </c>
      <c r="D11" s="1">
        <v>2004</v>
      </c>
      <c r="F11">
        <f t="shared" si="0"/>
        <v>84</v>
      </c>
    </row>
    <row r="12" spans="1:9" x14ac:dyDescent="0.25">
      <c r="A12">
        <v>1202.0899999999999</v>
      </c>
      <c r="B12">
        <v>54</v>
      </c>
      <c r="C12">
        <v>1</v>
      </c>
      <c r="D12" s="1">
        <v>4500</v>
      </c>
      <c r="F12">
        <f t="shared" si="0"/>
        <v>74</v>
      </c>
    </row>
    <row r="13" spans="1:9" x14ac:dyDescent="0.25">
      <c r="A13">
        <v>1166.81</v>
      </c>
      <c r="B13">
        <v>30</v>
      </c>
      <c r="C13">
        <v>0</v>
      </c>
      <c r="D13" s="1">
        <v>3188</v>
      </c>
      <c r="F13">
        <f t="shared" si="0"/>
        <v>30</v>
      </c>
    </row>
    <row r="14" spans="1:9" x14ac:dyDescent="0.25">
      <c r="A14">
        <v>1179.92</v>
      </c>
      <c r="B14">
        <v>5</v>
      </c>
      <c r="C14">
        <v>0</v>
      </c>
      <c r="D14" s="1">
        <v>7881</v>
      </c>
      <c r="F14">
        <f t="shared" si="0"/>
        <v>5</v>
      </c>
    </row>
    <row r="15" spans="1:9" x14ac:dyDescent="0.25">
      <c r="A15">
        <v>1168.2</v>
      </c>
      <c r="B15">
        <v>27</v>
      </c>
      <c r="C15">
        <v>0</v>
      </c>
      <c r="D15" s="1">
        <v>4349</v>
      </c>
      <c r="F15">
        <f t="shared" si="0"/>
        <v>27</v>
      </c>
    </row>
    <row r="16" spans="1:9" x14ac:dyDescent="0.25">
      <c r="A16">
        <v>1163.82</v>
      </c>
      <c r="B16">
        <v>41</v>
      </c>
      <c r="C16">
        <v>1</v>
      </c>
      <c r="D16" s="1">
        <v>3852</v>
      </c>
      <c r="F16">
        <f t="shared" si="0"/>
        <v>61</v>
      </c>
    </row>
    <row r="17" spans="1:6" x14ac:dyDescent="0.25">
      <c r="A17">
        <v>1184.52</v>
      </c>
      <c r="B17">
        <v>45</v>
      </c>
      <c r="C17">
        <v>0</v>
      </c>
      <c r="D17" s="1">
        <v>3363</v>
      </c>
      <c r="F17">
        <f t="shared" si="0"/>
        <v>45</v>
      </c>
    </row>
    <row r="18" spans="1:6" x14ac:dyDescent="0.25">
      <c r="A18">
        <v>1189.56</v>
      </c>
      <c r="B18">
        <v>32</v>
      </c>
      <c r="C18">
        <v>0</v>
      </c>
      <c r="D18" s="1">
        <v>5090</v>
      </c>
      <c r="F18">
        <f t="shared" si="0"/>
        <v>32</v>
      </c>
    </row>
    <row r="19" spans="1:6" x14ac:dyDescent="0.25">
      <c r="A19">
        <v>1141.23</v>
      </c>
      <c r="B19">
        <v>32</v>
      </c>
      <c r="C19">
        <v>0</v>
      </c>
      <c r="D19" s="1">
        <v>4145</v>
      </c>
      <c r="F19">
        <f t="shared" si="0"/>
        <v>32</v>
      </c>
    </row>
    <row r="20" spans="1:6" x14ac:dyDescent="0.25">
      <c r="A20">
        <v>1145.78</v>
      </c>
      <c r="B20">
        <v>41</v>
      </c>
      <c r="C20">
        <v>1</v>
      </c>
      <c r="D20" s="1">
        <v>3718</v>
      </c>
      <c r="F20">
        <f t="shared" si="0"/>
        <v>61</v>
      </c>
    </row>
    <row r="21" spans="1:6" x14ac:dyDescent="0.25">
      <c r="A21">
        <v>1183.8599999999999</v>
      </c>
      <c r="B21">
        <v>30</v>
      </c>
      <c r="C21">
        <v>1</v>
      </c>
      <c r="D21" s="1">
        <v>5050</v>
      </c>
      <c r="F21">
        <f t="shared" si="0"/>
        <v>50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1</v>
      </c>
      <c r="C1" t="s">
        <v>2</v>
      </c>
      <c r="H1" t="s">
        <v>40</v>
      </c>
    </row>
    <row r="2" spans="1:8" x14ac:dyDescent="0.25">
      <c r="A2">
        <v>715.08</v>
      </c>
      <c r="B2">
        <v>4</v>
      </c>
      <c r="C2">
        <v>0</v>
      </c>
      <c r="D2" s="1">
        <v>2124</v>
      </c>
      <c r="F2">
        <f t="shared" ref="F2:F21" si="0">B2+C2*20</f>
        <v>4</v>
      </c>
      <c r="H2">
        <f>_xlfn.T.TEST(F2:F21,control!F2:F21,1,3)</f>
        <v>0.17763589359034326</v>
      </c>
    </row>
    <row r="3" spans="1:8" x14ac:dyDescent="0.25">
      <c r="A3">
        <v>745.22</v>
      </c>
      <c r="B3">
        <v>47</v>
      </c>
      <c r="C3">
        <v>0</v>
      </c>
      <c r="D3" s="1">
        <v>2848</v>
      </c>
      <c r="F3">
        <f t="shared" si="0"/>
        <v>47</v>
      </c>
    </row>
    <row r="4" spans="1:8" x14ac:dyDescent="0.25">
      <c r="A4">
        <v>683.19</v>
      </c>
      <c r="B4">
        <v>28</v>
      </c>
      <c r="C4">
        <v>0</v>
      </c>
      <c r="D4" s="1">
        <v>3813</v>
      </c>
      <c r="F4">
        <f t="shared" si="0"/>
        <v>28</v>
      </c>
    </row>
    <row r="5" spans="1:8" x14ac:dyDescent="0.25">
      <c r="A5">
        <v>785.07</v>
      </c>
      <c r="B5">
        <v>17</v>
      </c>
      <c r="C5">
        <v>0</v>
      </c>
      <c r="D5" s="1">
        <v>7085</v>
      </c>
      <c r="F5">
        <f t="shared" si="0"/>
        <v>17</v>
      </c>
    </row>
    <row r="6" spans="1:8" x14ac:dyDescent="0.25">
      <c r="A6">
        <v>682.1</v>
      </c>
      <c r="B6">
        <v>28</v>
      </c>
      <c r="C6">
        <v>0</v>
      </c>
      <c r="D6" s="1">
        <v>4761</v>
      </c>
      <c r="F6">
        <f t="shared" si="0"/>
        <v>28</v>
      </c>
    </row>
    <row r="7" spans="1:8" x14ac:dyDescent="0.25">
      <c r="A7">
        <v>657.82</v>
      </c>
      <c r="B7">
        <v>9</v>
      </c>
      <c r="C7">
        <v>0</v>
      </c>
      <c r="D7" s="1">
        <v>3663</v>
      </c>
      <c r="F7">
        <f t="shared" si="0"/>
        <v>9</v>
      </c>
    </row>
    <row r="8" spans="1:8" x14ac:dyDescent="0.25">
      <c r="A8">
        <v>744.02</v>
      </c>
      <c r="B8">
        <v>0</v>
      </c>
      <c r="C8">
        <v>0</v>
      </c>
      <c r="D8" s="1">
        <v>4764</v>
      </c>
      <c r="F8">
        <f t="shared" si="0"/>
        <v>0</v>
      </c>
    </row>
    <row r="9" spans="1:8" x14ac:dyDescent="0.25">
      <c r="A9">
        <v>1147.47</v>
      </c>
      <c r="B9">
        <v>31</v>
      </c>
      <c r="C9">
        <v>2</v>
      </c>
      <c r="D9" s="1">
        <v>2785</v>
      </c>
      <c r="F9">
        <f t="shared" si="0"/>
        <v>71</v>
      </c>
    </row>
    <row r="10" spans="1:8" x14ac:dyDescent="0.25">
      <c r="A10">
        <v>833.46</v>
      </c>
      <c r="B10">
        <v>5</v>
      </c>
      <c r="C10">
        <v>0</v>
      </c>
      <c r="D10" s="1">
        <v>8684</v>
      </c>
      <c r="F10">
        <f t="shared" si="0"/>
        <v>5</v>
      </c>
    </row>
    <row r="11" spans="1:8" x14ac:dyDescent="0.25">
      <c r="A11">
        <v>727.5</v>
      </c>
      <c r="B11">
        <v>24</v>
      </c>
      <c r="C11">
        <v>0</v>
      </c>
      <c r="D11" s="1">
        <v>2934</v>
      </c>
      <c r="F11">
        <f t="shared" si="0"/>
        <v>24</v>
      </c>
    </row>
    <row r="12" spans="1:8" x14ac:dyDescent="0.25">
      <c r="A12">
        <v>639.35</v>
      </c>
      <c r="B12">
        <v>12</v>
      </c>
      <c r="C12">
        <v>0</v>
      </c>
      <c r="D12" s="1">
        <v>3114</v>
      </c>
      <c r="F12">
        <f t="shared" si="0"/>
        <v>12</v>
      </c>
    </row>
    <row r="13" spans="1:8" x14ac:dyDescent="0.25">
      <c r="A13">
        <v>845.55</v>
      </c>
      <c r="B13">
        <v>16</v>
      </c>
      <c r="C13">
        <v>0</v>
      </c>
      <c r="D13" s="1">
        <v>4013</v>
      </c>
      <c r="F13">
        <f t="shared" si="0"/>
        <v>16</v>
      </c>
    </row>
    <row r="14" spans="1:8" x14ac:dyDescent="0.25">
      <c r="A14">
        <v>633.24</v>
      </c>
      <c r="B14">
        <v>20</v>
      </c>
      <c r="C14">
        <v>0</v>
      </c>
      <c r="D14" s="1">
        <v>4177</v>
      </c>
      <c r="F14">
        <f t="shared" si="0"/>
        <v>20</v>
      </c>
    </row>
    <row r="15" spans="1:8" x14ac:dyDescent="0.25">
      <c r="A15">
        <v>1014.3</v>
      </c>
      <c r="B15">
        <v>48</v>
      </c>
      <c r="C15">
        <v>1</v>
      </c>
      <c r="D15" s="1">
        <v>2506</v>
      </c>
      <c r="F15">
        <f t="shared" si="0"/>
        <v>68</v>
      </c>
    </row>
    <row r="16" spans="1:8" x14ac:dyDescent="0.25">
      <c r="A16">
        <v>658.04</v>
      </c>
      <c r="B16">
        <v>0</v>
      </c>
      <c r="C16">
        <v>0</v>
      </c>
      <c r="D16" s="1">
        <v>5362</v>
      </c>
      <c r="F16">
        <f t="shared" si="0"/>
        <v>0</v>
      </c>
    </row>
    <row r="17" spans="1:6" x14ac:dyDescent="0.25">
      <c r="A17">
        <v>648.72</v>
      </c>
      <c r="B17">
        <v>1</v>
      </c>
      <c r="C17">
        <v>0</v>
      </c>
      <c r="D17" s="1">
        <v>5848</v>
      </c>
      <c r="F17">
        <f t="shared" si="0"/>
        <v>1</v>
      </c>
    </row>
    <row r="18" spans="1:6" x14ac:dyDescent="0.25">
      <c r="A18">
        <v>855.96</v>
      </c>
      <c r="B18">
        <v>2</v>
      </c>
      <c r="C18">
        <v>0</v>
      </c>
      <c r="D18" s="1">
        <v>4443</v>
      </c>
      <c r="F18">
        <f t="shared" si="0"/>
        <v>2</v>
      </c>
    </row>
    <row r="19" spans="1:6" x14ac:dyDescent="0.25">
      <c r="A19">
        <v>682.22</v>
      </c>
      <c r="B19">
        <v>6</v>
      </c>
      <c r="C19">
        <v>0</v>
      </c>
      <c r="D19" s="1">
        <v>5027</v>
      </c>
      <c r="F19">
        <f t="shared" si="0"/>
        <v>6</v>
      </c>
    </row>
    <row r="20" spans="1:6" x14ac:dyDescent="0.25">
      <c r="A20">
        <v>651.38</v>
      </c>
      <c r="B20">
        <v>13</v>
      </c>
      <c r="C20">
        <v>0</v>
      </c>
      <c r="D20" s="1">
        <v>2626</v>
      </c>
      <c r="F20">
        <f t="shared" si="0"/>
        <v>13</v>
      </c>
    </row>
    <row r="21" spans="1:6" x14ac:dyDescent="0.25">
      <c r="A21">
        <v>644.16</v>
      </c>
      <c r="B21">
        <v>40</v>
      </c>
      <c r="C21">
        <v>0</v>
      </c>
      <c r="D21" s="1">
        <v>3513</v>
      </c>
      <c r="F21">
        <f t="shared" si="0"/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1"/>
  <sheetViews>
    <sheetView workbookViewId="0">
      <selection activeCell="H2" sqref="H2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  <c r="I1" t="s">
        <v>45</v>
      </c>
    </row>
    <row r="2" spans="1:9" x14ac:dyDescent="0.25">
      <c r="A2">
        <v>385.74</v>
      </c>
      <c r="B2">
        <v>42</v>
      </c>
      <c r="C2">
        <v>0</v>
      </c>
      <c r="D2" s="1">
        <v>2942</v>
      </c>
      <c r="F2">
        <f t="shared" ref="F2:F21" si="0">B2+C2*20</f>
        <v>42</v>
      </c>
      <c r="H2">
        <f>_xlfn.T.TEST(F2:F21,control!F2:F21,1,3)</f>
        <v>1.979657087339479E-2</v>
      </c>
      <c r="I2">
        <f>_xlfn.T.TEST(F2:F21,'spatial-linear-state'!F2:F21,1,3)</f>
        <v>7.9885892560277482E-4</v>
      </c>
    </row>
    <row r="3" spans="1:9" x14ac:dyDescent="0.25">
      <c r="A3">
        <v>354.97</v>
      </c>
      <c r="B3">
        <v>19</v>
      </c>
      <c r="C3">
        <v>0</v>
      </c>
      <c r="D3" s="1">
        <v>4894</v>
      </c>
      <c r="F3">
        <f t="shared" si="0"/>
        <v>19</v>
      </c>
    </row>
    <row r="4" spans="1:9" x14ac:dyDescent="0.25">
      <c r="A4">
        <v>378.86</v>
      </c>
      <c r="B4">
        <v>47</v>
      </c>
      <c r="C4">
        <v>0</v>
      </c>
      <c r="D4" s="1">
        <v>3237</v>
      </c>
      <c r="F4">
        <f t="shared" si="0"/>
        <v>47</v>
      </c>
    </row>
    <row r="5" spans="1:9" x14ac:dyDescent="0.25">
      <c r="A5">
        <v>356.46</v>
      </c>
      <c r="B5">
        <v>37</v>
      </c>
      <c r="C5">
        <v>0</v>
      </c>
      <c r="D5" s="1">
        <v>2757</v>
      </c>
      <c r="F5">
        <f t="shared" si="0"/>
        <v>37</v>
      </c>
    </row>
    <row r="6" spans="1:9" x14ac:dyDescent="0.25">
      <c r="A6">
        <v>404.47</v>
      </c>
      <c r="B6">
        <v>32</v>
      </c>
      <c r="C6">
        <v>0</v>
      </c>
      <c r="D6" s="1">
        <v>2937</v>
      </c>
      <c r="F6">
        <f t="shared" si="0"/>
        <v>32</v>
      </c>
    </row>
    <row r="7" spans="1:9" x14ac:dyDescent="0.25">
      <c r="A7">
        <v>464.82</v>
      </c>
      <c r="B7">
        <v>31</v>
      </c>
      <c r="C7">
        <v>0</v>
      </c>
      <c r="D7" s="1">
        <v>3059</v>
      </c>
      <c r="F7">
        <f t="shared" si="0"/>
        <v>31</v>
      </c>
    </row>
    <row r="8" spans="1:9" x14ac:dyDescent="0.25">
      <c r="A8">
        <v>364.82</v>
      </c>
      <c r="B8">
        <v>74</v>
      </c>
      <c r="C8">
        <v>0</v>
      </c>
      <c r="D8" s="1">
        <v>2866</v>
      </c>
      <c r="F8">
        <f t="shared" si="0"/>
        <v>74</v>
      </c>
    </row>
    <row r="9" spans="1:9" x14ac:dyDescent="0.25">
      <c r="A9">
        <v>419.94</v>
      </c>
      <c r="B9">
        <v>28</v>
      </c>
      <c r="C9">
        <v>0</v>
      </c>
      <c r="D9" s="1">
        <v>2930</v>
      </c>
      <c r="F9">
        <f t="shared" si="0"/>
        <v>28</v>
      </c>
    </row>
    <row r="10" spans="1:9" x14ac:dyDescent="0.25">
      <c r="A10">
        <v>383.43</v>
      </c>
      <c r="B10">
        <v>27</v>
      </c>
      <c r="C10">
        <v>0</v>
      </c>
      <c r="D10" s="1">
        <v>2930</v>
      </c>
      <c r="F10">
        <f t="shared" si="0"/>
        <v>27</v>
      </c>
    </row>
    <row r="11" spans="1:9" x14ac:dyDescent="0.25">
      <c r="A11">
        <v>334.21</v>
      </c>
      <c r="B11">
        <v>3</v>
      </c>
      <c r="C11">
        <v>0</v>
      </c>
      <c r="D11" s="1">
        <v>3119</v>
      </c>
      <c r="F11">
        <f t="shared" si="0"/>
        <v>3</v>
      </c>
    </row>
    <row r="12" spans="1:9" x14ac:dyDescent="0.25">
      <c r="A12">
        <v>410.4</v>
      </c>
      <c r="B12">
        <v>45</v>
      </c>
      <c r="C12">
        <v>0</v>
      </c>
      <c r="D12" s="1">
        <v>4340</v>
      </c>
      <c r="F12">
        <f t="shared" si="0"/>
        <v>45</v>
      </c>
    </row>
    <row r="13" spans="1:9" x14ac:dyDescent="0.25">
      <c r="A13">
        <v>409.52</v>
      </c>
      <c r="B13">
        <v>40</v>
      </c>
      <c r="C13">
        <v>0</v>
      </c>
      <c r="D13" s="1">
        <v>2778</v>
      </c>
      <c r="F13">
        <f t="shared" si="0"/>
        <v>40</v>
      </c>
    </row>
    <row r="14" spans="1:9" x14ac:dyDescent="0.25">
      <c r="A14">
        <v>420.32</v>
      </c>
      <c r="B14">
        <v>53</v>
      </c>
      <c r="C14">
        <v>0</v>
      </c>
      <c r="D14" s="1">
        <v>2653</v>
      </c>
      <c r="F14">
        <f t="shared" si="0"/>
        <v>53</v>
      </c>
    </row>
    <row r="15" spans="1:9" x14ac:dyDescent="0.25">
      <c r="A15">
        <v>396.09</v>
      </c>
      <c r="B15">
        <v>38</v>
      </c>
      <c r="C15">
        <v>1</v>
      </c>
      <c r="D15" s="1">
        <v>3287</v>
      </c>
      <c r="F15">
        <f t="shared" si="0"/>
        <v>58</v>
      </c>
    </row>
    <row r="16" spans="1:9" x14ac:dyDescent="0.25">
      <c r="A16">
        <v>369.96</v>
      </c>
      <c r="B16">
        <v>40</v>
      </c>
      <c r="C16">
        <v>1</v>
      </c>
      <c r="D16" s="1">
        <v>2619</v>
      </c>
      <c r="F16">
        <f t="shared" si="0"/>
        <v>60</v>
      </c>
    </row>
    <row r="17" spans="1:6" x14ac:dyDescent="0.25">
      <c r="A17">
        <v>351.88</v>
      </c>
      <c r="B17">
        <v>55</v>
      </c>
      <c r="C17">
        <v>2</v>
      </c>
      <c r="D17" s="1">
        <v>2293</v>
      </c>
      <c r="F17">
        <f t="shared" si="0"/>
        <v>95</v>
      </c>
    </row>
    <row r="18" spans="1:6" x14ac:dyDescent="0.25">
      <c r="A18">
        <v>395.85</v>
      </c>
      <c r="B18">
        <v>35</v>
      </c>
      <c r="C18">
        <v>0</v>
      </c>
      <c r="D18" s="1">
        <v>2809</v>
      </c>
      <c r="F18">
        <f t="shared" si="0"/>
        <v>35</v>
      </c>
    </row>
    <row r="19" spans="1:6" x14ac:dyDescent="0.25">
      <c r="A19">
        <v>375.33</v>
      </c>
      <c r="B19">
        <v>71</v>
      </c>
      <c r="C19">
        <v>0</v>
      </c>
      <c r="D19" s="1">
        <v>3413</v>
      </c>
      <c r="F19">
        <f t="shared" si="0"/>
        <v>71</v>
      </c>
    </row>
    <row r="20" spans="1:6" x14ac:dyDescent="0.25">
      <c r="A20">
        <v>366.14</v>
      </c>
      <c r="B20">
        <v>40</v>
      </c>
      <c r="C20">
        <v>0</v>
      </c>
      <c r="D20" s="1">
        <v>2948</v>
      </c>
      <c r="F20">
        <f t="shared" si="0"/>
        <v>40</v>
      </c>
    </row>
    <row r="21" spans="1:6" x14ac:dyDescent="0.25">
      <c r="A21">
        <v>411.38</v>
      </c>
      <c r="B21">
        <v>28</v>
      </c>
      <c r="C21">
        <v>0</v>
      </c>
      <c r="D21" s="1">
        <v>2953</v>
      </c>
      <c r="F21">
        <f t="shared" si="0"/>
        <v>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  <c r="I1" t="s">
        <v>41</v>
      </c>
    </row>
    <row r="2" spans="1:9" x14ac:dyDescent="0.25">
      <c r="A2">
        <v>164.88</v>
      </c>
      <c r="B2">
        <v>6</v>
      </c>
      <c r="C2">
        <v>0</v>
      </c>
      <c r="D2" s="1">
        <v>8425</v>
      </c>
      <c r="F2">
        <f t="shared" ref="F2:F21" si="0">B2+C2*20</f>
        <v>6</v>
      </c>
      <c r="H2">
        <f>_xlfn.T.TEST(F2:F21,control!F2:F21,1,3)</f>
        <v>1.3889699253062538E-4</v>
      </c>
      <c r="I2">
        <f>_xlfn.T.TEST(F2:F21,'small-batchsize'!F2:F21,1,3)</f>
        <v>0.40528171128882273</v>
      </c>
    </row>
    <row r="3" spans="1:9" x14ac:dyDescent="0.25">
      <c r="A3">
        <v>146.03</v>
      </c>
      <c r="B3">
        <v>1</v>
      </c>
      <c r="C3">
        <v>0</v>
      </c>
      <c r="D3" s="1">
        <v>6479</v>
      </c>
      <c r="F3">
        <f t="shared" si="0"/>
        <v>1</v>
      </c>
    </row>
    <row r="4" spans="1:9" x14ac:dyDescent="0.25">
      <c r="A4">
        <v>135.84</v>
      </c>
      <c r="B4">
        <v>0</v>
      </c>
      <c r="C4">
        <v>0</v>
      </c>
      <c r="D4" s="1">
        <v>5389</v>
      </c>
      <c r="F4">
        <f t="shared" si="0"/>
        <v>0</v>
      </c>
    </row>
    <row r="5" spans="1:9" x14ac:dyDescent="0.25">
      <c r="A5">
        <v>145.82</v>
      </c>
      <c r="B5">
        <v>2</v>
      </c>
      <c r="C5">
        <v>0</v>
      </c>
      <c r="D5" s="1">
        <v>6205</v>
      </c>
      <c r="F5">
        <f t="shared" si="0"/>
        <v>2</v>
      </c>
    </row>
    <row r="6" spans="1:9" x14ac:dyDescent="0.25">
      <c r="A6">
        <v>135.97</v>
      </c>
      <c r="B6">
        <v>2</v>
      </c>
      <c r="C6">
        <v>0</v>
      </c>
      <c r="D6" s="1">
        <v>6205</v>
      </c>
      <c r="F6">
        <f t="shared" si="0"/>
        <v>2</v>
      </c>
    </row>
    <row r="7" spans="1:9" x14ac:dyDescent="0.25">
      <c r="A7">
        <v>147.16</v>
      </c>
      <c r="B7">
        <v>4</v>
      </c>
      <c r="C7">
        <v>0</v>
      </c>
      <c r="D7" s="1">
        <v>6942</v>
      </c>
      <c r="F7">
        <f t="shared" si="0"/>
        <v>4</v>
      </c>
    </row>
    <row r="8" spans="1:9" x14ac:dyDescent="0.25">
      <c r="A8">
        <v>138.08000000000001</v>
      </c>
      <c r="B8">
        <v>1</v>
      </c>
      <c r="C8">
        <v>0</v>
      </c>
      <c r="D8" s="1">
        <v>5802</v>
      </c>
      <c r="F8">
        <f t="shared" si="0"/>
        <v>1</v>
      </c>
    </row>
    <row r="9" spans="1:9" x14ac:dyDescent="0.25">
      <c r="A9">
        <v>153.22</v>
      </c>
      <c r="B9">
        <v>7</v>
      </c>
      <c r="C9">
        <v>0</v>
      </c>
      <c r="D9" s="1">
        <v>8675</v>
      </c>
      <c r="F9">
        <f t="shared" si="0"/>
        <v>7</v>
      </c>
    </row>
    <row r="10" spans="1:9" x14ac:dyDescent="0.25">
      <c r="A10">
        <v>155.94999999999999</v>
      </c>
      <c r="B10">
        <v>1</v>
      </c>
      <c r="C10">
        <v>0</v>
      </c>
      <c r="D10" s="1">
        <v>5765</v>
      </c>
      <c r="F10">
        <f t="shared" si="0"/>
        <v>1</v>
      </c>
    </row>
    <row r="11" spans="1:9" x14ac:dyDescent="0.25">
      <c r="A11">
        <v>152.81</v>
      </c>
      <c r="B11">
        <v>0</v>
      </c>
      <c r="C11">
        <v>0</v>
      </c>
      <c r="D11" s="1">
        <v>5875</v>
      </c>
      <c r="F11">
        <f t="shared" si="0"/>
        <v>0</v>
      </c>
    </row>
    <row r="12" spans="1:9" x14ac:dyDescent="0.25">
      <c r="A12">
        <v>147.87</v>
      </c>
      <c r="B12">
        <v>2</v>
      </c>
      <c r="C12">
        <v>0</v>
      </c>
      <c r="D12" s="1">
        <v>6433</v>
      </c>
      <c r="F12">
        <f t="shared" si="0"/>
        <v>2</v>
      </c>
    </row>
    <row r="13" spans="1:9" x14ac:dyDescent="0.25">
      <c r="A13">
        <v>146.04</v>
      </c>
      <c r="B13">
        <v>2</v>
      </c>
      <c r="C13">
        <v>0</v>
      </c>
      <c r="D13" s="1">
        <v>4001</v>
      </c>
      <c r="F13">
        <f t="shared" si="0"/>
        <v>2</v>
      </c>
    </row>
    <row r="14" spans="1:9" x14ac:dyDescent="0.25">
      <c r="A14">
        <v>145.58000000000001</v>
      </c>
      <c r="B14">
        <v>1</v>
      </c>
      <c r="C14">
        <v>0</v>
      </c>
      <c r="D14" s="1">
        <v>3142</v>
      </c>
      <c r="F14">
        <f t="shared" si="0"/>
        <v>1</v>
      </c>
    </row>
    <row r="15" spans="1:9" x14ac:dyDescent="0.25">
      <c r="A15">
        <v>144.97</v>
      </c>
      <c r="B15">
        <v>4</v>
      </c>
      <c r="C15">
        <v>0</v>
      </c>
      <c r="D15" s="1">
        <v>4700</v>
      </c>
      <c r="F15">
        <f t="shared" si="0"/>
        <v>4</v>
      </c>
    </row>
    <row r="16" spans="1:9" x14ac:dyDescent="0.25">
      <c r="A16">
        <v>143.47</v>
      </c>
      <c r="B16">
        <v>0</v>
      </c>
      <c r="C16">
        <v>0</v>
      </c>
      <c r="D16" s="1">
        <v>3726</v>
      </c>
      <c r="F16">
        <f t="shared" si="0"/>
        <v>0</v>
      </c>
    </row>
    <row r="17" spans="1:6" x14ac:dyDescent="0.25">
      <c r="A17">
        <v>134.88999999999999</v>
      </c>
      <c r="B17">
        <v>2</v>
      </c>
      <c r="C17">
        <v>0</v>
      </c>
      <c r="D17" s="1">
        <v>6433</v>
      </c>
      <c r="F17">
        <f t="shared" si="0"/>
        <v>2</v>
      </c>
    </row>
    <row r="18" spans="1:6" x14ac:dyDescent="0.25">
      <c r="A18">
        <v>135.75</v>
      </c>
      <c r="B18">
        <v>2</v>
      </c>
      <c r="C18">
        <v>0</v>
      </c>
      <c r="D18" s="1">
        <v>6433</v>
      </c>
      <c r="F18">
        <f t="shared" si="0"/>
        <v>2</v>
      </c>
    </row>
    <row r="19" spans="1:6" x14ac:dyDescent="0.25">
      <c r="A19">
        <v>144.46</v>
      </c>
      <c r="B19">
        <v>3</v>
      </c>
      <c r="C19">
        <v>0</v>
      </c>
      <c r="D19" s="1">
        <v>5681</v>
      </c>
      <c r="F19">
        <f t="shared" si="0"/>
        <v>3</v>
      </c>
    </row>
    <row r="20" spans="1:6" x14ac:dyDescent="0.25">
      <c r="A20">
        <v>149.11000000000001</v>
      </c>
      <c r="B20">
        <v>0</v>
      </c>
      <c r="C20">
        <v>0</v>
      </c>
      <c r="D20" s="1">
        <v>4186</v>
      </c>
      <c r="F20">
        <f t="shared" si="0"/>
        <v>0</v>
      </c>
    </row>
    <row r="21" spans="1:6" x14ac:dyDescent="0.25">
      <c r="A21">
        <v>140.75</v>
      </c>
      <c r="B21">
        <v>3</v>
      </c>
      <c r="C21">
        <v>0</v>
      </c>
      <c r="D21" s="1">
        <v>6617</v>
      </c>
      <c r="F21">
        <f t="shared" si="0"/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143.76</v>
      </c>
      <c r="B2">
        <v>1</v>
      </c>
      <c r="C2">
        <v>0</v>
      </c>
      <c r="D2" s="1">
        <v>6066</v>
      </c>
      <c r="F2">
        <f t="shared" ref="F2:F21" si="0">B2+C2*20</f>
        <v>1</v>
      </c>
      <c r="H2">
        <f>_xlfn.T.TEST(F2:F21,control!F2:F21,1,3)</f>
        <v>1.4753942259185189E-4</v>
      </c>
    </row>
    <row r="3" spans="1:8" x14ac:dyDescent="0.25">
      <c r="A3">
        <v>145.32</v>
      </c>
      <c r="B3">
        <v>2</v>
      </c>
      <c r="C3">
        <v>0</v>
      </c>
      <c r="D3" s="1">
        <v>4907</v>
      </c>
      <c r="F3">
        <f t="shared" si="0"/>
        <v>2</v>
      </c>
    </row>
    <row r="4" spans="1:8" x14ac:dyDescent="0.25">
      <c r="A4">
        <v>145.84</v>
      </c>
      <c r="B4">
        <v>7</v>
      </c>
      <c r="C4">
        <v>0</v>
      </c>
      <c r="D4" s="1">
        <v>8821</v>
      </c>
      <c r="F4">
        <f t="shared" si="0"/>
        <v>7</v>
      </c>
    </row>
    <row r="5" spans="1:8" x14ac:dyDescent="0.25">
      <c r="A5">
        <v>152.13</v>
      </c>
      <c r="B5">
        <v>0</v>
      </c>
      <c r="C5">
        <v>0</v>
      </c>
      <c r="D5" s="1">
        <v>4262</v>
      </c>
      <c r="F5">
        <f t="shared" si="0"/>
        <v>0</v>
      </c>
    </row>
    <row r="6" spans="1:8" x14ac:dyDescent="0.25">
      <c r="A6">
        <v>148.38999999999999</v>
      </c>
      <c r="B6">
        <v>0</v>
      </c>
      <c r="C6">
        <v>0</v>
      </c>
      <c r="D6" s="1">
        <v>4267</v>
      </c>
      <c r="F6">
        <f t="shared" si="0"/>
        <v>0</v>
      </c>
    </row>
    <row r="7" spans="1:8" x14ac:dyDescent="0.25">
      <c r="A7">
        <v>150.43</v>
      </c>
      <c r="B7">
        <v>0</v>
      </c>
      <c r="C7">
        <v>0</v>
      </c>
      <c r="D7" s="1">
        <v>6040</v>
      </c>
      <c r="F7">
        <f t="shared" si="0"/>
        <v>0</v>
      </c>
    </row>
    <row r="8" spans="1:8" x14ac:dyDescent="0.25">
      <c r="A8">
        <v>149.22999999999999</v>
      </c>
      <c r="B8">
        <v>5</v>
      </c>
      <c r="C8">
        <v>0</v>
      </c>
      <c r="D8" s="1">
        <v>6006</v>
      </c>
      <c r="F8">
        <f t="shared" si="0"/>
        <v>5</v>
      </c>
    </row>
    <row r="9" spans="1:8" x14ac:dyDescent="0.25">
      <c r="A9">
        <v>147.94</v>
      </c>
      <c r="B9">
        <v>2</v>
      </c>
      <c r="C9">
        <v>0</v>
      </c>
      <c r="D9" s="1">
        <v>5955</v>
      </c>
      <c r="F9">
        <f t="shared" si="0"/>
        <v>2</v>
      </c>
    </row>
    <row r="10" spans="1:8" x14ac:dyDescent="0.25">
      <c r="A10">
        <v>154.31</v>
      </c>
      <c r="B10">
        <v>1</v>
      </c>
      <c r="C10">
        <v>0</v>
      </c>
      <c r="D10" s="1">
        <v>4037</v>
      </c>
      <c r="F10">
        <f t="shared" si="0"/>
        <v>1</v>
      </c>
    </row>
    <row r="11" spans="1:8" x14ac:dyDescent="0.25">
      <c r="A11">
        <v>140.52000000000001</v>
      </c>
      <c r="B11">
        <v>2</v>
      </c>
      <c r="C11">
        <v>0</v>
      </c>
      <c r="D11" s="1">
        <v>6433</v>
      </c>
      <c r="F11">
        <f t="shared" si="0"/>
        <v>2</v>
      </c>
    </row>
    <row r="12" spans="1:8" x14ac:dyDescent="0.25">
      <c r="A12">
        <v>154.66</v>
      </c>
      <c r="B12">
        <v>4</v>
      </c>
      <c r="C12">
        <v>0</v>
      </c>
      <c r="D12" s="1">
        <v>7754</v>
      </c>
      <c r="F12">
        <f t="shared" si="0"/>
        <v>4</v>
      </c>
    </row>
    <row r="13" spans="1:8" x14ac:dyDescent="0.25">
      <c r="A13">
        <v>140.12</v>
      </c>
      <c r="B13">
        <v>4</v>
      </c>
      <c r="C13">
        <v>0</v>
      </c>
      <c r="D13" s="1">
        <v>7270</v>
      </c>
      <c r="F13">
        <f t="shared" si="0"/>
        <v>4</v>
      </c>
    </row>
    <row r="14" spans="1:8" x14ac:dyDescent="0.25">
      <c r="A14">
        <v>149.4</v>
      </c>
      <c r="B14">
        <v>2</v>
      </c>
      <c r="C14">
        <v>0</v>
      </c>
      <c r="D14" s="1">
        <v>6433</v>
      </c>
      <c r="F14">
        <f t="shared" si="0"/>
        <v>2</v>
      </c>
    </row>
    <row r="15" spans="1:8" x14ac:dyDescent="0.25">
      <c r="A15">
        <v>140.24</v>
      </c>
      <c r="B15">
        <v>1</v>
      </c>
      <c r="C15">
        <v>0</v>
      </c>
      <c r="D15" s="1">
        <v>5660</v>
      </c>
      <c r="F15">
        <f t="shared" si="0"/>
        <v>1</v>
      </c>
    </row>
    <row r="16" spans="1:8" x14ac:dyDescent="0.25">
      <c r="A16">
        <v>140.79</v>
      </c>
      <c r="B16">
        <v>0</v>
      </c>
      <c r="C16">
        <v>0</v>
      </c>
      <c r="D16" s="1">
        <v>5096</v>
      </c>
      <c r="F16">
        <f t="shared" si="0"/>
        <v>0</v>
      </c>
    </row>
    <row r="17" spans="1:6" x14ac:dyDescent="0.25">
      <c r="A17">
        <v>143.07</v>
      </c>
      <c r="B17">
        <v>6</v>
      </c>
      <c r="C17">
        <v>0</v>
      </c>
      <c r="D17" s="1">
        <v>8339</v>
      </c>
      <c r="F17">
        <f t="shared" si="0"/>
        <v>6</v>
      </c>
    </row>
    <row r="18" spans="1:6" x14ac:dyDescent="0.25">
      <c r="A18">
        <v>146.02000000000001</v>
      </c>
      <c r="B18">
        <v>2</v>
      </c>
      <c r="C18">
        <v>0</v>
      </c>
      <c r="D18" s="1">
        <v>4364</v>
      </c>
      <c r="F18">
        <f t="shared" si="0"/>
        <v>2</v>
      </c>
    </row>
    <row r="19" spans="1:6" x14ac:dyDescent="0.25">
      <c r="A19">
        <v>145.43</v>
      </c>
      <c r="B19">
        <v>2</v>
      </c>
      <c r="C19">
        <v>0</v>
      </c>
      <c r="D19" s="1">
        <v>6433</v>
      </c>
      <c r="F19">
        <f t="shared" si="0"/>
        <v>2</v>
      </c>
    </row>
    <row r="20" spans="1:6" x14ac:dyDescent="0.25">
      <c r="A20">
        <v>148.44999999999999</v>
      </c>
      <c r="B20">
        <v>3</v>
      </c>
      <c r="C20">
        <v>0</v>
      </c>
      <c r="D20" s="1">
        <v>3730</v>
      </c>
      <c r="F20">
        <f t="shared" si="0"/>
        <v>3</v>
      </c>
    </row>
    <row r="21" spans="1:6" x14ac:dyDescent="0.25">
      <c r="A21">
        <v>138.84</v>
      </c>
      <c r="B21">
        <v>2</v>
      </c>
      <c r="C21">
        <v>0</v>
      </c>
      <c r="D21" s="1">
        <v>6433</v>
      </c>
      <c r="F21">
        <f t="shared" si="0"/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1"/>
  <sheetViews>
    <sheetView workbookViewId="0">
      <selection activeCell="H3" sqref="H3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387.25</v>
      </c>
      <c r="B2">
        <v>37</v>
      </c>
      <c r="C2">
        <v>0</v>
      </c>
      <c r="D2" s="1">
        <v>2511</v>
      </c>
      <c r="F2">
        <f t="shared" ref="F2:F21" si="0">B2+C2*20</f>
        <v>37</v>
      </c>
      <c r="H2">
        <f>_xlfn.T.TEST(F2:F21,control!F2:F21,1,3)</f>
        <v>0.16876124688826399</v>
      </c>
    </row>
    <row r="3" spans="1:8" x14ac:dyDescent="0.25">
      <c r="A3">
        <v>373.84</v>
      </c>
      <c r="B3">
        <v>8</v>
      </c>
      <c r="C3">
        <v>0</v>
      </c>
      <c r="D3" s="1">
        <v>3287</v>
      </c>
      <c r="F3">
        <f t="shared" si="0"/>
        <v>8</v>
      </c>
    </row>
    <row r="4" spans="1:8" x14ac:dyDescent="0.25">
      <c r="A4">
        <v>374.33</v>
      </c>
      <c r="B4">
        <v>5</v>
      </c>
      <c r="C4">
        <v>0</v>
      </c>
      <c r="D4" s="1">
        <v>6674</v>
      </c>
      <c r="F4">
        <f t="shared" si="0"/>
        <v>5</v>
      </c>
    </row>
    <row r="5" spans="1:8" x14ac:dyDescent="0.25">
      <c r="A5">
        <v>353.17</v>
      </c>
      <c r="B5">
        <v>31</v>
      </c>
      <c r="C5">
        <v>0</v>
      </c>
      <c r="D5" s="1">
        <v>4664</v>
      </c>
      <c r="F5">
        <f t="shared" si="0"/>
        <v>31</v>
      </c>
    </row>
    <row r="6" spans="1:8" x14ac:dyDescent="0.25">
      <c r="A6">
        <v>319.06</v>
      </c>
      <c r="B6">
        <v>20</v>
      </c>
      <c r="C6">
        <v>0</v>
      </c>
      <c r="D6" s="1">
        <v>6453</v>
      </c>
      <c r="F6">
        <f t="shared" si="0"/>
        <v>20</v>
      </c>
    </row>
    <row r="7" spans="1:8" x14ac:dyDescent="0.25">
      <c r="A7">
        <v>379.3</v>
      </c>
      <c r="B7">
        <v>27</v>
      </c>
      <c r="C7">
        <v>0</v>
      </c>
      <c r="D7" s="1">
        <v>5451</v>
      </c>
      <c r="F7">
        <f t="shared" si="0"/>
        <v>27</v>
      </c>
    </row>
    <row r="8" spans="1:8" x14ac:dyDescent="0.25">
      <c r="A8">
        <v>339.43</v>
      </c>
      <c r="B8">
        <v>29</v>
      </c>
      <c r="C8">
        <v>0</v>
      </c>
      <c r="D8" s="1">
        <v>6243</v>
      </c>
      <c r="F8">
        <f t="shared" si="0"/>
        <v>29</v>
      </c>
    </row>
    <row r="9" spans="1:8" x14ac:dyDescent="0.25">
      <c r="A9">
        <v>318.75</v>
      </c>
      <c r="B9">
        <v>28</v>
      </c>
      <c r="C9">
        <v>1</v>
      </c>
      <c r="D9" s="1">
        <v>5223</v>
      </c>
      <c r="F9">
        <f t="shared" si="0"/>
        <v>48</v>
      </c>
    </row>
    <row r="10" spans="1:8" x14ac:dyDescent="0.25">
      <c r="A10">
        <v>371.18</v>
      </c>
      <c r="B10">
        <v>37</v>
      </c>
      <c r="C10">
        <v>1</v>
      </c>
      <c r="D10" s="1">
        <v>4102</v>
      </c>
      <c r="F10">
        <f t="shared" si="0"/>
        <v>57</v>
      </c>
    </row>
    <row r="11" spans="1:8" x14ac:dyDescent="0.25">
      <c r="A11">
        <v>347.09</v>
      </c>
      <c r="B11">
        <v>20</v>
      </c>
      <c r="C11">
        <v>0</v>
      </c>
      <c r="D11" s="1">
        <v>7075</v>
      </c>
      <c r="F11">
        <f t="shared" si="0"/>
        <v>20</v>
      </c>
    </row>
    <row r="12" spans="1:8" x14ac:dyDescent="0.25">
      <c r="A12">
        <v>391.75</v>
      </c>
      <c r="B12">
        <v>30</v>
      </c>
      <c r="C12">
        <v>0</v>
      </c>
      <c r="D12" s="1">
        <v>6697</v>
      </c>
      <c r="F12">
        <f t="shared" si="0"/>
        <v>30</v>
      </c>
    </row>
    <row r="13" spans="1:8" x14ac:dyDescent="0.25">
      <c r="A13">
        <v>371.05</v>
      </c>
      <c r="B13">
        <v>41</v>
      </c>
      <c r="C13">
        <v>1</v>
      </c>
      <c r="D13" s="1">
        <v>2956</v>
      </c>
      <c r="F13">
        <f t="shared" si="0"/>
        <v>61</v>
      </c>
    </row>
    <row r="14" spans="1:8" x14ac:dyDescent="0.25">
      <c r="A14">
        <v>360.56</v>
      </c>
      <c r="B14">
        <v>33</v>
      </c>
      <c r="C14">
        <v>0</v>
      </c>
      <c r="D14" s="1">
        <v>5761</v>
      </c>
      <c r="F14">
        <f t="shared" si="0"/>
        <v>33</v>
      </c>
    </row>
    <row r="15" spans="1:8" x14ac:dyDescent="0.25">
      <c r="A15">
        <v>424.54</v>
      </c>
      <c r="B15">
        <v>40</v>
      </c>
      <c r="C15">
        <v>0</v>
      </c>
      <c r="D15" s="1">
        <v>4723</v>
      </c>
      <c r="F15">
        <f t="shared" si="0"/>
        <v>40</v>
      </c>
    </row>
    <row r="16" spans="1:8" x14ac:dyDescent="0.25">
      <c r="A16">
        <v>340.16</v>
      </c>
      <c r="B16">
        <v>23</v>
      </c>
      <c r="C16">
        <v>0</v>
      </c>
      <c r="D16" s="1">
        <v>5199</v>
      </c>
      <c r="F16">
        <f t="shared" si="0"/>
        <v>23</v>
      </c>
    </row>
    <row r="17" spans="1:6" x14ac:dyDescent="0.25">
      <c r="A17">
        <v>354.67</v>
      </c>
      <c r="B17">
        <v>33</v>
      </c>
      <c r="C17">
        <v>0</v>
      </c>
      <c r="D17" s="1">
        <v>4624</v>
      </c>
      <c r="F17">
        <f t="shared" si="0"/>
        <v>33</v>
      </c>
    </row>
    <row r="18" spans="1:6" x14ac:dyDescent="0.25">
      <c r="A18">
        <v>328.21</v>
      </c>
      <c r="B18">
        <v>16</v>
      </c>
      <c r="C18">
        <v>0</v>
      </c>
      <c r="D18" s="1">
        <v>4535</v>
      </c>
      <c r="F18">
        <f t="shared" si="0"/>
        <v>16</v>
      </c>
    </row>
    <row r="19" spans="1:6" x14ac:dyDescent="0.25">
      <c r="A19">
        <v>361.43</v>
      </c>
      <c r="B19">
        <v>41</v>
      </c>
      <c r="C19">
        <v>0</v>
      </c>
      <c r="D19" s="1">
        <v>2670</v>
      </c>
      <c r="F19">
        <f t="shared" si="0"/>
        <v>41</v>
      </c>
    </row>
    <row r="20" spans="1:6" x14ac:dyDescent="0.25">
      <c r="A20">
        <v>375.07</v>
      </c>
      <c r="B20">
        <v>43</v>
      </c>
      <c r="C20">
        <v>0</v>
      </c>
      <c r="D20" s="1">
        <v>3693</v>
      </c>
      <c r="F20">
        <f t="shared" si="0"/>
        <v>43</v>
      </c>
    </row>
    <row r="21" spans="1:6" x14ac:dyDescent="0.25">
      <c r="A21">
        <v>378.59</v>
      </c>
      <c r="B21">
        <v>46</v>
      </c>
      <c r="C21">
        <v>2</v>
      </c>
      <c r="D21" s="1">
        <v>2613</v>
      </c>
      <c r="F21">
        <f t="shared" si="0"/>
        <v>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188.67</v>
      </c>
      <c r="B2">
        <v>6</v>
      </c>
      <c r="C2">
        <v>0</v>
      </c>
      <c r="D2" s="1">
        <v>8494</v>
      </c>
      <c r="F2">
        <f t="shared" ref="F2:F21" si="0">B2+C2*20</f>
        <v>6</v>
      </c>
      <c r="H2">
        <f>_xlfn.T.TEST(F2:F21,control!F2:F21,1,3)</f>
        <v>3.5807432768776419E-4</v>
      </c>
    </row>
    <row r="3" spans="1:8" x14ac:dyDescent="0.25">
      <c r="A3">
        <v>139.44999999999999</v>
      </c>
      <c r="B3">
        <v>5</v>
      </c>
      <c r="C3">
        <v>0</v>
      </c>
      <c r="D3" s="1">
        <v>4447</v>
      </c>
      <c r="F3">
        <f t="shared" si="0"/>
        <v>5</v>
      </c>
    </row>
    <row r="4" spans="1:8" x14ac:dyDescent="0.25">
      <c r="A4">
        <v>164.69</v>
      </c>
      <c r="B4">
        <v>8</v>
      </c>
      <c r="C4">
        <v>0</v>
      </c>
      <c r="D4" s="1">
        <v>4072</v>
      </c>
      <c r="F4">
        <f t="shared" si="0"/>
        <v>8</v>
      </c>
    </row>
    <row r="5" spans="1:8" x14ac:dyDescent="0.25">
      <c r="A5">
        <v>152.66999999999999</v>
      </c>
      <c r="B5">
        <v>10</v>
      </c>
      <c r="C5">
        <v>0</v>
      </c>
      <c r="D5" s="1">
        <v>5174</v>
      </c>
      <c r="F5">
        <f t="shared" si="0"/>
        <v>10</v>
      </c>
    </row>
    <row r="6" spans="1:8" x14ac:dyDescent="0.25">
      <c r="A6">
        <v>165.8</v>
      </c>
      <c r="B6">
        <v>3</v>
      </c>
      <c r="C6">
        <v>0</v>
      </c>
      <c r="D6" s="1">
        <v>6687</v>
      </c>
      <c r="F6">
        <f t="shared" si="0"/>
        <v>3</v>
      </c>
    </row>
    <row r="7" spans="1:8" x14ac:dyDescent="0.25">
      <c r="A7">
        <v>147.72</v>
      </c>
      <c r="B7">
        <v>2</v>
      </c>
      <c r="C7">
        <v>0</v>
      </c>
      <c r="D7" s="1">
        <v>5642</v>
      </c>
      <c r="F7">
        <f t="shared" si="0"/>
        <v>2</v>
      </c>
    </row>
    <row r="8" spans="1:8" x14ac:dyDescent="0.25">
      <c r="A8">
        <v>147.63</v>
      </c>
      <c r="B8">
        <v>17</v>
      </c>
      <c r="C8">
        <v>0</v>
      </c>
      <c r="D8" s="1">
        <v>8048</v>
      </c>
      <c r="F8">
        <f t="shared" si="0"/>
        <v>17</v>
      </c>
    </row>
    <row r="9" spans="1:8" x14ac:dyDescent="0.25">
      <c r="A9">
        <v>157.07</v>
      </c>
      <c r="B9">
        <v>3</v>
      </c>
      <c r="C9">
        <v>0</v>
      </c>
      <c r="D9" s="1">
        <v>6282</v>
      </c>
      <c r="F9">
        <f t="shared" si="0"/>
        <v>3</v>
      </c>
    </row>
    <row r="10" spans="1:8" x14ac:dyDescent="0.25">
      <c r="A10">
        <v>152.76</v>
      </c>
      <c r="B10">
        <v>5</v>
      </c>
      <c r="C10">
        <v>0</v>
      </c>
      <c r="D10" s="1">
        <v>7370</v>
      </c>
      <c r="F10">
        <f t="shared" si="0"/>
        <v>5</v>
      </c>
    </row>
    <row r="11" spans="1:8" x14ac:dyDescent="0.25">
      <c r="A11">
        <v>149.97</v>
      </c>
      <c r="B11">
        <v>3</v>
      </c>
      <c r="C11">
        <v>0</v>
      </c>
      <c r="D11" s="1">
        <v>4396</v>
      </c>
      <c r="F11">
        <f t="shared" si="0"/>
        <v>3</v>
      </c>
    </row>
    <row r="12" spans="1:8" x14ac:dyDescent="0.25">
      <c r="A12">
        <v>159.01</v>
      </c>
      <c r="B12">
        <v>2</v>
      </c>
      <c r="C12">
        <v>0</v>
      </c>
      <c r="D12" s="1">
        <v>5753</v>
      </c>
      <c r="F12">
        <f t="shared" si="0"/>
        <v>2</v>
      </c>
    </row>
    <row r="13" spans="1:8" x14ac:dyDescent="0.25">
      <c r="A13">
        <v>157.77000000000001</v>
      </c>
      <c r="B13">
        <v>1</v>
      </c>
      <c r="C13">
        <v>0</v>
      </c>
      <c r="D13" s="1">
        <v>5364</v>
      </c>
      <c r="F13">
        <f t="shared" si="0"/>
        <v>1</v>
      </c>
    </row>
    <row r="14" spans="1:8" x14ac:dyDescent="0.25">
      <c r="A14">
        <v>156.43</v>
      </c>
      <c r="B14">
        <v>2</v>
      </c>
      <c r="C14">
        <v>0</v>
      </c>
      <c r="D14" s="1">
        <v>5167</v>
      </c>
      <c r="F14">
        <f t="shared" si="0"/>
        <v>2</v>
      </c>
    </row>
    <row r="15" spans="1:8" x14ac:dyDescent="0.25">
      <c r="A15">
        <v>167.16</v>
      </c>
      <c r="B15">
        <v>2</v>
      </c>
      <c r="C15">
        <v>0</v>
      </c>
      <c r="D15" s="1">
        <v>6205</v>
      </c>
      <c r="F15">
        <f t="shared" si="0"/>
        <v>2</v>
      </c>
    </row>
    <row r="16" spans="1:8" x14ac:dyDescent="0.25">
      <c r="A16">
        <v>169.43</v>
      </c>
      <c r="B16">
        <v>0</v>
      </c>
      <c r="C16">
        <v>0</v>
      </c>
      <c r="D16" s="1">
        <v>4310</v>
      </c>
      <c r="F16">
        <f t="shared" si="0"/>
        <v>0</v>
      </c>
    </row>
    <row r="17" spans="1:6" x14ac:dyDescent="0.25">
      <c r="A17">
        <v>166.09</v>
      </c>
      <c r="B17">
        <v>3</v>
      </c>
      <c r="C17">
        <v>0</v>
      </c>
      <c r="D17" s="1">
        <v>4386</v>
      </c>
      <c r="F17">
        <f t="shared" si="0"/>
        <v>3</v>
      </c>
    </row>
    <row r="18" spans="1:6" x14ac:dyDescent="0.25">
      <c r="A18">
        <v>161.5</v>
      </c>
      <c r="B18">
        <v>0</v>
      </c>
      <c r="C18">
        <v>0</v>
      </c>
      <c r="D18" s="1">
        <v>5448</v>
      </c>
      <c r="F18">
        <f t="shared" si="0"/>
        <v>0</v>
      </c>
    </row>
    <row r="19" spans="1:6" x14ac:dyDescent="0.25">
      <c r="A19">
        <v>165.86</v>
      </c>
      <c r="B19">
        <v>8</v>
      </c>
      <c r="C19">
        <v>0</v>
      </c>
      <c r="D19" s="1">
        <v>8515</v>
      </c>
      <c r="F19">
        <f t="shared" si="0"/>
        <v>8</v>
      </c>
    </row>
    <row r="20" spans="1:6" x14ac:dyDescent="0.25">
      <c r="A20">
        <v>168.92</v>
      </c>
      <c r="B20">
        <v>5</v>
      </c>
      <c r="C20">
        <v>0</v>
      </c>
      <c r="D20" s="1">
        <v>8041</v>
      </c>
      <c r="F20">
        <f t="shared" si="0"/>
        <v>5</v>
      </c>
    </row>
    <row r="21" spans="1:6" x14ac:dyDescent="0.25">
      <c r="A21">
        <v>163.87</v>
      </c>
      <c r="B21">
        <v>4</v>
      </c>
      <c r="C21">
        <v>0</v>
      </c>
      <c r="D21" s="1">
        <v>6776</v>
      </c>
      <c r="F21">
        <f t="shared" si="0"/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1"/>
  <sheetViews>
    <sheetView workbookViewId="0">
      <selection activeCell="H3" sqref="H3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918.14</v>
      </c>
      <c r="B2">
        <v>9</v>
      </c>
      <c r="C2">
        <v>0</v>
      </c>
      <c r="D2" s="1">
        <v>8397</v>
      </c>
      <c r="F2">
        <f t="shared" ref="F2:F21" si="0">B2+C2*20</f>
        <v>9</v>
      </c>
      <c r="H2">
        <f>_xlfn.T.TEST(F2:F21,control!F2:F21,1,3)</f>
        <v>5.7399038751155443E-2</v>
      </c>
    </row>
    <row r="3" spans="1:8" x14ac:dyDescent="0.25">
      <c r="A3">
        <v>624.25</v>
      </c>
      <c r="B3">
        <v>57</v>
      </c>
      <c r="C3">
        <v>2</v>
      </c>
      <c r="D3" s="1">
        <v>3534</v>
      </c>
      <c r="F3">
        <f t="shared" si="0"/>
        <v>97</v>
      </c>
    </row>
    <row r="4" spans="1:8" x14ac:dyDescent="0.25">
      <c r="A4">
        <v>777.61</v>
      </c>
      <c r="B4">
        <v>8</v>
      </c>
      <c r="C4">
        <v>0</v>
      </c>
      <c r="D4" s="1">
        <v>4745</v>
      </c>
      <c r="F4">
        <f t="shared" si="0"/>
        <v>8</v>
      </c>
    </row>
    <row r="5" spans="1:8" x14ac:dyDescent="0.25">
      <c r="A5">
        <v>615.66</v>
      </c>
      <c r="B5">
        <v>3</v>
      </c>
      <c r="C5">
        <v>0</v>
      </c>
      <c r="D5" s="1">
        <v>4245</v>
      </c>
      <c r="F5">
        <f t="shared" si="0"/>
        <v>3</v>
      </c>
    </row>
    <row r="6" spans="1:8" x14ac:dyDescent="0.25">
      <c r="A6">
        <v>694.12</v>
      </c>
      <c r="B6">
        <v>13</v>
      </c>
      <c r="C6">
        <v>0</v>
      </c>
      <c r="D6" s="1">
        <v>5792</v>
      </c>
      <c r="F6">
        <f t="shared" si="0"/>
        <v>13</v>
      </c>
    </row>
    <row r="7" spans="1:8" x14ac:dyDescent="0.25">
      <c r="A7">
        <v>925.88</v>
      </c>
      <c r="B7">
        <v>27</v>
      </c>
      <c r="C7">
        <v>0</v>
      </c>
      <c r="D7" s="1">
        <v>4550</v>
      </c>
      <c r="F7">
        <f t="shared" si="0"/>
        <v>27</v>
      </c>
    </row>
    <row r="8" spans="1:8" x14ac:dyDescent="0.25">
      <c r="A8">
        <v>679.97</v>
      </c>
      <c r="B8">
        <v>3</v>
      </c>
      <c r="C8">
        <v>0</v>
      </c>
      <c r="D8" s="1">
        <v>6687</v>
      </c>
      <c r="F8">
        <f t="shared" si="0"/>
        <v>3</v>
      </c>
    </row>
    <row r="9" spans="1:8" x14ac:dyDescent="0.25">
      <c r="A9">
        <v>738.78</v>
      </c>
      <c r="B9">
        <v>13</v>
      </c>
      <c r="C9">
        <v>0</v>
      </c>
      <c r="D9" s="1">
        <v>2572</v>
      </c>
      <c r="F9">
        <f t="shared" si="0"/>
        <v>13</v>
      </c>
    </row>
    <row r="10" spans="1:8" x14ac:dyDescent="0.25">
      <c r="A10">
        <v>619.16999999999996</v>
      </c>
      <c r="B10">
        <v>10</v>
      </c>
      <c r="C10">
        <v>0</v>
      </c>
      <c r="D10" s="1">
        <v>6398</v>
      </c>
      <c r="F10">
        <f t="shared" si="0"/>
        <v>10</v>
      </c>
    </row>
    <row r="11" spans="1:8" x14ac:dyDescent="0.25">
      <c r="A11">
        <v>781.83</v>
      </c>
      <c r="B11">
        <v>22</v>
      </c>
      <c r="C11">
        <v>0</v>
      </c>
      <c r="D11" s="1">
        <v>7112</v>
      </c>
      <c r="F11">
        <f t="shared" si="0"/>
        <v>22</v>
      </c>
    </row>
    <row r="12" spans="1:8" x14ac:dyDescent="0.25">
      <c r="A12">
        <v>846.66</v>
      </c>
      <c r="B12">
        <v>2</v>
      </c>
      <c r="C12">
        <v>0</v>
      </c>
      <c r="D12" s="1">
        <v>3500</v>
      </c>
      <c r="F12">
        <f t="shared" si="0"/>
        <v>2</v>
      </c>
    </row>
    <row r="13" spans="1:8" x14ac:dyDescent="0.25">
      <c r="A13">
        <v>661.99</v>
      </c>
      <c r="B13">
        <v>8</v>
      </c>
      <c r="C13">
        <v>0</v>
      </c>
      <c r="D13" s="1">
        <v>3939</v>
      </c>
      <c r="F13">
        <f t="shared" si="0"/>
        <v>8</v>
      </c>
    </row>
    <row r="14" spans="1:8" x14ac:dyDescent="0.25">
      <c r="A14">
        <v>629.05999999999995</v>
      </c>
      <c r="B14">
        <v>0</v>
      </c>
      <c r="C14">
        <v>0</v>
      </c>
      <c r="D14" s="1">
        <v>4204</v>
      </c>
      <c r="F14">
        <f t="shared" si="0"/>
        <v>0</v>
      </c>
    </row>
    <row r="15" spans="1:8" x14ac:dyDescent="0.25">
      <c r="A15">
        <v>796.8</v>
      </c>
      <c r="B15">
        <v>39</v>
      </c>
      <c r="C15">
        <v>0</v>
      </c>
      <c r="D15" s="1">
        <v>3607</v>
      </c>
      <c r="F15">
        <f t="shared" si="0"/>
        <v>39</v>
      </c>
    </row>
    <row r="16" spans="1:8" x14ac:dyDescent="0.25">
      <c r="A16">
        <v>717.9</v>
      </c>
      <c r="B16">
        <v>2</v>
      </c>
      <c r="C16">
        <v>0</v>
      </c>
      <c r="D16" s="1">
        <v>6371</v>
      </c>
      <c r="F16">
        <f t="shared" si="0"/>
        <v>2</v>
      </c>
    </row>
    <row r="17" spans="1:6" x14ac:dyDescent="0.25">
      <c r="A17">
        <v>615.52</v>
      </c>
      <c r="B17">
        <v>2</v>
      </c>
      <c r="C17">
        <v>0</v>
      </c>
      <c r="D17" s="1">
        <v>6433</v>
      </c>
      <c r="F17">
        <f t="shared" si="0"/>
        <v>2</v>
      </c>
    </row>
    <row r="18" spans="1:6" x14ac:dyDescent="0.25">
      <c r="A18">
        <v>825.83</v>
      </c>
      <c r="B18">
        <v>30</v>
      </c>
      <c r="C18">
        <v>0</v>
      </c>
      <c r="D18" s="1">
        <v>5022</v>
      </c>
      <c r="F18">
        <f t="shared" si="0"/>
        <v>30</v>
      </c>
    </row>
    <row r="19" spans="1:6" x14ac:dyDescent="0.25">
      <c r="A19">
        <v>894.74</v>
      </c>
      <c r="B19">
        <v>11</v>
      </c>
      <c r="C19">
        <v>0</v>
      </c>
      <c r="D19" s="1">
        <v>7622</v>
      </c>
      <c r="F19">
        <f t="shared" si="0"/>
        <v>11</v>
      </c>
    </row>
    <row r="20" spans="1:6" x14ac:dyDescent="0.25">
      <c r="A20">
        <v>847.18</v>
      </c>
      <c r="B20">
        <v>3</v>
      </c>
      <c r="C20">
        <v>0</v>
      </c>
      <c r="D20" s="1">
        <v>7288</v>
      </c>
      <c r="F20">
        <f t="shared" si="0"/>
        <v>3</v>
      </c>
    </row>
    <row r="21" spans="1:6" x14ac:dyDescent="0.25">
      <c r="A21">
        <v>714.62</v>
      </c>
      <c r="B21">
        <v>5</v>
      </c>
      <c r="C21">
        <v>0</v>
      </c>
      <c r="D21" s="1">
        <v>4594</v>
      </c>
      <c r="F21">
        <f t="shared" si="0"/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  <c r="I1" t="s">
        <v>43</v>
      </c>
    </row>
    <row r="2" spans="1:9" x14ac:dyDescent="0.25">
      <c r="A2">
        <v>300.02999999999997</v>
      </c>
      <c r="B2">
        <v>6</v>
      </c>
      <c r="C2">
        <v>0</v>
      </c>
      <c r="D2" s="1">
        <v>3984</v>
      </c>
      <c r="F2">
        <f t="shared" ref="F2:F21" si="0">B2+C2*20</f>
        <v>6</v>
      </c>
      <c r="H2">
        <f>_xlfn.T.TEST(F2:F21,control!F2:F21,1,3)</f>
        <v>1.7034616378286929E-2</v>
      </c>
      <c r="I2">
        <f>_xlfn.T.TEST(F2:F21,'ham3-vision'!F2:F21,1,3)</f>
        <v>7.0758060555938408E-3</v>
      </c>
    </row>
    <row r="3" spans="1:9" x14ac:dyDescent="0.25">
      <c r="A3">
        <v>335.62</v>
      </c>
      <c r="B3">
        <v>18</v>
      </c>
      <c r="C3">
        <v>0</v>
      </c>
      <c r="D3" s="1">
        <v>2386</v>
      </c>
      <c r="F3">
        <f t="shared" si="0"/>
        <v>18</v>
      </c>
    </row>
    <row r="4" spans="1:9" x14ac:dyDescent="0.25">
      <c r="A4">
        <v>359.89</v>
      </c>
      <c r="B4">
        <v>36</v>
      </c>
      <c r="C4">
        <v>1</v>
      </c>
      <c r="D4" s="1">
        <v>4295</v>
      </c>
      <c r="F4">
        <f t="shared" si="0"/>
        <v>56</v>
      </c>
    </row>
    <row r="5" spans="1:9" x14ac:dyDescent="0.25">
      <c r="A5">
        <v>330.27</v>
      </c>
      <c r="B5">
        <v>20</v>
      </c>
      <c r="C5">
        <v>0</v>
      </c>
      <c r="D5" s="1">
        <v>7655</v>
      </c>
      <c r="F5">
        <f t="shared" si="0"/>
        <v>20</v>
      </c>
    </row>
    <row r="6" spans="1:9" x14ac:dyDescent="0.25">
      <c r="A6">
        <v>338.15</v>
      </c>
      <c r="B6">
        <v>33</v>
      </c>
      <c r="C6">
        <v>1</v>
      </c>
      <c r="D6" s="1">
        <v>4412</v>
      </c>
      <c r="F6">
        <f t="shared" si="0"/>
        <v>53</v>
      </c>
    </row>
    <row r="7" spans="1:9" x14ac:dyDescent="0.25">
      <c r="A7">
        <v>299.27999999999997</v>
      </c>
      <c r="B7">
        <v>2</v>
      </c>
      <c r="C7">
        <v>0</v>
      </c>
      <c r="D7" s="1">
        <v>4836</v>
      </c>
      <c r="F7">
        <f t="shared" si="0"/>
        <v>2</v>
      </c>
    </row>
    <row r="8" spans="1:9" x14ac:dyDescent="0.25">
      <c r="A8">
        <v>301.76</v>
      </c>
      <c r="B8">
        <v>2</v>
      </c>
      <c r="C8">
        <v>0</v>
      </c>
      <c r="D8" s="1">
        <v>6433</v>
      </c>
      <c r="F8">
        <f t="shared" si="0"/>
        <v>2</v>
      </c>
    </row>
    <row r="9" spans="1:9" x14ac:dyDescent="0.25">
      <c r="A9">
        <v>335.02</v>
      </c>
      <c r="B9">
        <v>2</v>
      </c>
      <c r="C9">
        <v>0</v>
      </c>
      <c r="D9" s="1">
        <v>4836</v>
      </c>
      <c r="F9">
        <f t="shared" si="0"/>
        <v>2</v>
      </c>
    </row>
    <row r="10" spans="1:9" x14ac:dyDescent="0.25">
      <c r="A10">
        <v>300.05</v>
      </c>
      <c r="B10">
        <v>39</v>
      </c>
      <c r="C10">
        <v>0</v>
      </c>
      <c r="D10" s="1">
        <v>3044</v>
      </c>
      <c r="F10">
        <f t="shared" si="0"/>
        <v>39</v>
      </c>
    </row>
    <row r="11" spans="1:9" x14ac:dyDescent="0.25">
      <c r="A11">
        <v>322.52999999999997</v>
      </c>
      <c r="B11">
        <v>0</v>
      </c>
      <c r="C11">
        <v>0</v>
      </c>
      <c r="D11" s="1">
        <v>5043</v>
      </c>
      <c r="F11">
        <f t="shared" si="0"/>
        <v>0</v>
      </c>
    </row>
    <row r="12" spans="1:9" x14ac:dyDescent="0.25">
      <c r="A12">
        <v>355.57</v>
      </c>
      <c r="B12">
        <v>11</v>
      </c>
      <c r="C12">
        <v>0</v>
      </c>
      <c r="D12" s="1">
        <v>5846</v>
      </c>
      <c r="F12">
        <f t="shared" si="0"/>
        <v>11</v>
      </c>
    </row>
    <row r="13" spans="1:9" x14ac:dyDescent="0.25">
      <c r="A13">
        <v>306.95</v>
      </c>
      <c r="B13">
        <v>2</v>
      </c>
      <c r="C13">
        <v>0</v>
      </c>
      <c r="D13" s="1">
        <v>5942</v>
      </c>
      <c r="F13">
        <f t="shared" si="0"/>
        <v>2</v>
      </c>
    </row>
    <row r="14" spans="1:9" x14ac:dyDescent="0.25">
      <c r="A14">
        <v>321.27</v>
      </c>
      <c r="B14">
        <v>4</v>
      </c>
      <c r="C14">
        <v>0</v>
      </c>
      <c r="D14" s="1">
        <v>7019</v>
      </c>
      <c r="F14">
        <f t="shared" si="0"/>
        <v>4</v>
      </c>
    </row>
    <row r="15" spans="1:9" x14ac:dyDescent="0.25">
      <c r="A15">
        <v>296.16000000000003</v>
      </c>
      <c r="B15">
        <v>3</v>
      </c>
      <c r="C15">
        <v>0</v>
      </c>
      <c r="D15" s="1">
        <v>6106</v>
      </c>
      <c r="F15">
        <f t="shared" si="0"/>
        <v>3</v>
      </c>
    </row>
    <row r="16" spans="1:9" x14ac:dyDescent="0.25">
      <c r="A16">
        <v>311.02999999999997</v>
      </c>
      <c r="B16">
        <v>3</v>
      </c>
      <c r="C16">
        <v>0</v>
      </c>
      <c r="D16" s="1">
        <v>7227</v>
      </c>
      <c r="F16">
        <f t="shared" si="0"/>
        <v>3</v>
      </c>
    </row>
    <row r="17" spans="1:6" x14ac:dyDescent="0.25">
      <c r="A17">
        <v>326.55</v>
      </c>
      <c r="B17">
        <v>4</v>
      </c>
      <c r="C17">
        <v>0</v>
      </c>
      <c r="D17" s="1">
        <v>5222</v>
      </c>
      <c r="F17">
        <f t="shared" si="0"/>
        <v>4</v>
      </c>
    </row>
    <row r="18" spans="1:6" x14ac:dyDescent="0.25">
      <c r="A18">
        <v>336.78</v>
      </c>
      <c r="B18">
        <v>5</v>
      </c>
      <c r="C18">
        <v>0</v>
      </c>
      <c r="D18" s="1">
        <v>3889</v>
      </c>
      <c r="F18">
        <f t="shared" si="0"/>
        <v>5</v>
      </c>
    </row>
    <row r="19" spans="1:6" x14ac:dyDescent="0.25">
      <c r="A19">
        <v>317.35000000000002</v>
      </c>
      <c r="B19">
        <v>6</v>
      </c>
      <c r="C19">
        <v>0</v>
      </c>
      <c r="D19" s="1">
        <v>6138</v>
      </c>
      <c r="F19">
        <f t="shared" si="0"/>
        <v>6</v>
      </c>
    </row>
    <row r="20" spans="1:6" x14ac:dyDescent="0.25">
      <c r="A20">
        <v>307.69</v>
      </c>
      <c r="B20">
        <v>8</v>
      </c>
      <c r="C20">
        <v>0</v>
      </c>
      <c r="D20" s="1">
        <v>4585</v>
      </c>
      <c r="F20">
        <f t="shared" si="0"/>
        <v>8</v>
      </c>
    </row>
    <row r="21" spans="1:6" x14ac:dyDescent="0.25">
      <c r="A21">
        <v>370.82</v>
      </c>
      <c r="B21">
        <v>3</v>
      </c>
      <c r="C21">
        <v>0</v>
      </c>
      <c r="D21" s="1">
        <v>5178</v>
      </c>
      <c r="F21">
        <f t="shared" si="0"/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45.47</v>
      </c>
      <c r="B2">
        <v>4</v>
      </c>
      <c r="C2">
        <v>0</v>
      </c>
      <c r="D2" s="1">
        <v>7651</v>
      </c>
      <c r="F2">
        <f t="shared" ref="F2:F21" si="0">B2+C2*20</f>
        <v>4</v>
      </c>
    </row>
    <row r="3" spans="1:6" x14ac:dyDescent="0.25">
      <c r="A3">
        <v>46</v>
      </c>
      <c r="B3">
        <v>2</v>
      </c>
      <c r="C3">
        <v>0</v>
      </c>
      <c r="D3" s="1">
        <v>6057</v>
      </c>
      <c r="F3">
        <f t="shared" si="0"/>
        <v>2</v>
      </c>
    </row>
    <row r="4" spans="1:6" x14ac:dyDescent="0.25">
      <c r="A4">
        <v>47.35</v>
      </c>
      <c r="B4">
        <v>20</v>
      </c>
      <c r="C4">
        <v>0</v>
      </c>
      <c r="D4" s="1">
        <v>8442</v>
      </c>
      <c r="F4">
        <f t="shared" si="0"/>
        <v>20</v>
      </c>
    </row>
    <row r="5" spans="1:6" x14ac:dyDescent="0.25">
      <c r="A5">
        <v>44.7</v>
      </c>
      <c r="B5">
        <v>4</v>
      </c>
      <c r="C5">
        <v>0</v>
      </c>
      <c r="D5" s="1">
        <v>7709</v>
      </c>
      <c r="F5">
        <f t="shared" si="0"/>
        <v>4</v>
      </c>
    </row>
    <row r="6" spans="1:6" x14ac:dyDescent="0.25">
      <c r="A6">
        <v>44.77</v>
      </c>
      <c r="B6">
        <v>2</v>
      </c>
      <c r="C6">
        <v>0</v>
      </c>
      <c r="D6" s="1">
        <v>6205</v>
      </c>
      <c r="F6">
        <f t="shared" si="0"/>
        <v>2</v>
      </c>
    </row>
    <row r="7" spans="1:6" x14ac:dyDescent="0.25">
      <c r="A7">
        <v>44.45</v>
      </c>
      <c r="B7">
        <v>2</v>
      </c>
      <c r="C7">
        <v>0</v>
      </c>
      <c r="D7" s="1">
        <v>4148</v>
      </c>
      <c r="F7">
        <f t="shared" si="0"/>
        <v>2</v>
      </c>
    </row>
    <row r="8" spans="1:6" x14ac:dyDescent="0.25">
      <c r="A8">
        <v>45.18</v>
      </c>
      <c r="B8">
        <v>1</v>
      </c>
      <c r="C8">
        <v>0</v>
      </c>
      <c r="D8" s="1">
        <v>6179</v>
      </c>
      <c r="F8">
        <f t="shared" si="0"/>
        <v>1</v>
      </c>
    </row>
    <row r="9" spans="1:6" x14ac:dyDescent="0.25">
      <c r="A9">
        <v>51.21</v>
      </c>
      <c r="B9">
        <v>2</v>
      </c>
      <c r="C9">
        <v>0</v>
      </c>
      <c r="D9" s="1">
        <v>6433</v>
      </c>
      <c r="F9">
        <f t="shared" si="0"/>
        <v>2</v>
      </c>
    </row>
    <row r="10" spans="1:6" x14ac:dyDescent="0.25">
      <c r="A10">
        <v>43.5</v>
      </c>
      <c r="B10">
        <v>3</v>
      </c>
      <c r="C10">
        <v>0</v>
      </c>
      <c r="D10" s="1">
        <v>4097</v>
      </c>
      <c r="F10">
        <f t="shared" si="0"/>
        <v>3</v>
      </c>
    </row>
    <row r="11" spans="1:6" x14ac:dyDescent="0.25">
      <c r="A11">
        <v>45.85</v>
      </c>
      <c r="B11">
        <v>2</v>
      </c>
      <c r="C11">
        <v>0</v>
      </c>
      <c r="D11" s="1">
        <v>6205</v>
      </c>
      <c r="F11">
        <f t="shared" si="0"/>
        <v>2</v>
      </c>
    </row>
    <row r="12" spans="1:6" x14ac:dyDescent="0.25">
      <c r="A12">
        <v>46.81</v>
      </c>
      <c r="B12">
        <v>2</v>
      </c>
      <c r="C12">
        <v>0</v>
      </c>
      <c r="D12" s="1">
        <v>6093</v>
      </c>
      <c r="F12">
        <f t="shared" si="0"/>
        <v>2</v>
      </c>
    </row>
    <row r="13" spans="1:6" x14ac:dyDescent="0.25">
      <c r="A13">
        <v>45.79</v>
      </c>
      <c r="B13">
        <v>2</v>
      </c>
      <c r="C13">
        <v>0</v>
      </c>
      <c r="D13" s="1">
        <v>6205</v>
      </c>
      <c r="F13">
        <f t="shared" si="0"/>
        <v>2</v>
      </c>
    </row>
    <row r="14" spans="1:6" x14ac:dyDescent="0.25">
      <c r="A14">
        <v>43.3</v>
      </c>
      <c r="B14">
        <v>2</v>
      </c>
      <c r="C14">
        <v>0</v>
      </c>
      <c r="D14" s="1">
        <v>6205</v>
      </c>
      <c r="F14">
        <f t="shared" si="0"/>
        <v>2</v>
      </c>
    </row>
    <row r="15" spans="1:6" x14ac:dyDescent="0.25">
      <c r="A15">
        <v>42.1</v>
      </c>
      <c r="B15">
        <v>3</v>
      </c>
      <c r="C15">
        <v>0</v>
      </c>
      <c r="D15" s="1">
        <v>7227</v>
      </c>
      <c r="F15">
        <f t="shared" si="0"/>
        <v>3</v>
      </c>
    </row>
    <row r="16" spans="1:6" x14ac:dyDescent="0.25">
      <c r="A16">
        <v>42.13</v>
      </c>
      <c r="B16">
        <v>4</v>
      </c>
      <c r="C16">
        <v>0</v>
      </c>
      <c r="D16" s="1">
        <v>4626</v>
      </c>
      <c r="F16">
        <f t="shared" si="0"/>
        <v>4</v>
      </c>
    </row>
    <row r="17" spans="1:6" x14ac:dyDescent="0.25">
      <c r="A17">
        <v>41.64</v>
      </c>
      <c r="B17">
        <v>5</v>
      </c>
      <c r="C17">
        <v>0</v>
      </c>
      <c r="D17" s="1">
        <v>8326</v>
      </c>
      <c r="F17">
        <f t="shared" si="0"/>
        <v>5</v>
      </c>
    </row>
    <row r="18" spans="1:6" x14ac:dyDescent="0.25">
      <c r="A18">
        <v>42.51</v>
      </c>
      <c r="B18">
        <v>2</v>
      </c>
      <c r="C18">
        <v>0</v>
      </c>
      <c r="D18" s="1">
        <v>6433</v>
      </c>
      <c r="F18">
        <f t="shared" si="0"/>
        <v>2</v>
      </c>
    </row>
    <row r="19" spans="1:6" x14ac:dyDescent="0.25">
      <c r="A19">
        <v>42.64</v>
      </c>
      <c r="B19">
        <v>2</v>
      </c>
      <c r="C19">
        <v>0</v>
      </c>
      <c r="D19" s="1">
        <v>6413</v>
      </c>
      <c r="F19">
        <f t="shared" si="0"/>
        <v>2</v>
      </c>
    </row>
    <row r="20" spans="1:6" x14ac:dyDescent="0.25">
      <c r="A20">
        <v>43.36</v>
      </c>
      <c r="B20">
        <v>7</v>
      </c>
      <c r="C20">
        <v>0</v>
      </c>
      <c r="D20" s="1">
        <v>8748</v>
      </c>
      <c r="F20">
        <f t="shared" si="0"/>
        <v>7</v>
      </c>
    </row>
    <row r="21" spans="1:6" x14ac:dyDescent="0.25">
      <c r="A21">
        <v>45.6</v>
      </c>
      <c r="B21">
        <v>5</v>
      </c>
      <c r="C21">
        <v>0</v>
      </c>
      <c r="D21" s="1">
        <v>6792</v>
      </c>
      <c r="F21">
        <f t="shared" si="0"/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37</v>
      </c>
    </row>
    <row r="2" spans="1:8" x14ac:dyDescent="0.25">
      <c r="A2">
        <v>69.72</v>
      </c>
      <c r="B2">
        <v>2</v>
      </c>
      <c r="C2">
        <v>0</v>
      </c>
      <c r="D2" s="1">
        <v>6433</v>
      </c>
      <c r="F2">
        <f t="shared" ref="F2:F21" si="0">B2+C2*20</f>
        <v>2</v>
      </c>
      <c r="H2">
        <f>_xlfn.T.TEST(F2:F21,'low-iteration'!F2:F21,1,3)</f>
        <v>0.20566746639539285</v>
      </c>
    </row>
    <row r="3" spans="1:8" x14ac:dyDescent="0.25">
      <c r="A3">
        <v>56.68</v>
      </c>
      <c r="B3">
        <v>11</v>
      </c>
      <c r="C3">
        <v>0</v>
      </c>
      <c r="D3" s="1">
        <v>4119</v>
      </c>
      <c r="F3">
        <f t="shared" si="0"/>
        <v>11</v>
      </c>
    </row>
    <row r="4" spans="1:8" x14ac:dyDescent="0.25">
      <c r="A4">
        <v>69.790000000000006</v>
      </c>
      <c r="B4">
        <v>6</v>
      </c>
      <c r="C4">
        <v>0</v>
      </c>
      <c r="D4" s="1">
        <v>7184</v>
      </c>
      <c r="F4">
        <f t="shared" si="0"/>
        <v>6</v>
      </c>
    </row>
    <row r="5" spans="1:8" x14ac:dyDescent="0.25">
      <c r="A5">
        <v>54.03</v>
      </c>
      <c r="B5">
        <v>11</v>
      </c>
      <c r="C5">
        <v>0</v>
      </c>
      <c r="D5" s="1">
        <v>5908</v>
      </c>
      <c r="F5">
        <f t="shared" si="0"/>
        <v>11</v>
      </c>
    </row>
    <row r="6" spans="1:8" x14ac:dyDescent="0.25">
      <c r="A6">
        <v>59.88</v>
      </c>
      <c r="B6">
        <v>2</v>
      </c>
      <c r="C6">
        <v>0</v>
      </c>
      <c r="D6" s="1">
        <v>6433</v>
      </c>
      <c r="F6">
        <f t="shared" si="0"/>
        <v>2</v>
      </c>
    </row>
    <row r="7" spans="1:8" x14ac:dyDescent="0.25">
      <c r="A7">
        <v>59</v>
      </c>
      <c r="B7">
        <v>4</v>
      </c>
      <c r="C7">
        <v>0</v>
      </c>
      <c r="D7" s="1">
        <v>7709</v>
      </c>
      <c r="F7">
        <f t="shared" si="0"/>
        <v>4</v>
      </c>
    </row>
    <row r="8" spans="1:8" x14ac:dyDescent="0.25">
      <c r="A8">
        <v>66.48</v>
      </c>
      <c r="B8">
        <v>2</v>
      </c>
      <c r="C8">
        <v>0</v>
      </c>
      <c r="D8" s="1">
        <v>6433</v>
      </c>
      <c r="F8">
        <f t="shared" si="0"/>
        <v>2</v>
      </c>
    </row>
    <row r="9" spans="1:8" x14ac:dyDescent="0.25">
      <c r="A9">
        <v>49.06</v>
      </c>
      <c r="B9">
        <v>3</v>
      </c>
      <c r="C9">
        <v>0</v>
      </c>
      <c r="D9" s="1">
        <v>7455</v>
      </c>
      <c r="F9">
        <f t="shared" si="0"/>
        <v>3</v>
      </c>
    </row>
    <row r="10" spans="1:8" x14ac:dyDescent="0.25">
      <c r="A10">
        <v>47.82</v>
      </c>
      <c r="B10">
        <v>2</v>
      </c>
      <c r="C10">
        <v>0</v>
      </c>
      <c r="D10" s="1">
        <v>6433</v>
      </c>
      <c r="F10">
        <f t="shared" si="0"/>
        <v>2</v>
      </c>
    </row>
    <row r="11" spans="1:8" x14ac:dyDescent="0.25">
      <c r="A11">
        <v>50.8</v>
      </c>
      <c r="B11">
        <v>2</v>
      </c>
      <c r="C11">
        <v>0</v>
      </c>
      <c r="D11" s="1">
        <v>6433</v>
      </c>
      <c r="F11">
        <f t="shared" si="0"/>
        <v>2</v>
      </c>
    </row>
    <row r="12" spans="1:8" x14ac:dyDescent="0.25">
      <c r="A12">
        <v>52.01</v>
      </c>
      <c r="B12">
        <v>2</v>
      </c>
      <c r="C12">
        <v>0</v>
      </c>
      <c r="D12" s="1">
        <v>6205</v>
      </c>
      <c r="F12">
        <f t="shared" si="0"/>
        <v>2</v>
      </c>
    </row>
    <row r="13" spans="1:8" x14ac:dyDescent="0.25">
      <c r="A13">
        <v>51.89</v>
      </c>
      <c r="B13">
        <v>2</v>
      </c>
      <c r="C13">
        <v>0</v>
      </c>
      <c r="D13" s="1">
        <v>6205</v>
      </c>
      <c r="F13">
        <f t="shared" si="0"/>
        <v>2</v>
      </c>
    </row>
    <row r="14" spans="1:8" x14ac:dyDescent="0.25">
      <c r="A14">
        <v>46.92</v>
      </c>
      <c r="B14">
        <v>15</v>
      </c>
      <c r="C14">
        <v>0</v>
      </c>
      <c r="D14" s="1">
        <v>8196</v>
      </c>
      <c r="F14">
        <f t="shared" si="0"/>
        <v>15</v>
      </c>
    </row>
    <row r="15" spans="1:8" x14ac:dyDescent="0.25">
      <c r="A15">
        <v>53.66</v>
      </c>
      <c r="B15">
        <v>2</v>
      </c>
      <c r="C15">
        <v>0</v>
      </c>
      <c r="D15" s="1">
        <v>6433</v>
      </c>
      <c r="F15">
        <f t="shared" si="0"/>
        <v>2</v>
      </c>
    </row>
    <row r="16" spans="1:8" x14ac:dyDescent="0.25">
      <c r="A16">
        <v>51.09</v>
      </c>
      <c r="B16">
        <v>2</v>
      </c>
      <c r="C16">
        <v>0</v>
      </c>
      <c r="D16" s="1">
        <v>6433</v>
      </c>
      <c r="F16">
        <f t="shared" si="0"/>
        <v>2</v>
      </c>
    </row>
    <row r="17" spans="1:6" x14ac:dyDescent="0.25">
      <c r="A17">
        <v>52.73</v>
      </c>
      <c r="B17">
        <v>2</v>
      </c>
      <c r="C17">
        <v>0</v>
      </c>
      <c r="D17" s="1">
        <v>6433</v>
      </c>
      <c r="F17">
        <f t="shared" si="0"/>
        <v>2</v>
      </c>
    </row>
    <row r="18" spans="1:6" x14ac:dyDescent="0.25">
      <c r="A18">
        <v>49.38</v>
      </c>
      <c r="B18">
        <v>0</v>
      </c>
      <c r="C18">
        <v>0</v>
      </c>
      <c r="D18" s="1">
        <v>4204</v>
      </c>
      <c r="F18">
        <f t="shared" si="0"/>
        <v>0</v>
      </c>
    </row>
    <row r="19" spans="1:6" x14ac:dyDescent="0.25">
      <c r="A19">
        <v>58.96</v>
      </c>
      <c r="B19">
        <v>5</v>
      </c>
      <c r="C19">
        <v>0</v>
      </c>
      <c r="D19" s="1">
        <v>4401</v>
      </c>
      <c r="F19">
        <f t="shared" si="0"/>
        <v>5</v>
      </c>
    </row>
    <row r="20" spans="1:6" x14ac:dyDescent="0.25">
      <c r="A20">
        <v>56.61</v>
      </c>
      <c r="B20">
        <v>2</v>
      </c>
      <c r="C20">
        <v>0</v>
      </c>
      <c r="D20" s="1">
        <v>6205</v>
      </c>
      <c r="F20">
        <f t="shared" si="0"/>
        <v>2</v>
      </c>
    </row>
    <row r="21" spans="1:6" x14ac:dyDescent="0.25">
      <c r="A21">
        <v>59.29</v>
      </c>
      <c r="B21">
        <v>4</v>
      </c>
      <c r="C21">
        <v>0</v>
      </c>
      <c r="D21" s="1">
        <v>6147</v>
      </c>
      <c r="F21">
        <f t="shared" si="0"/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71.239999999999995</v>
      </c>
      <c r="B2">
        <v>2</v>
      </c>
      <c r="C2">
        <v>0</v>
      </c>
      <c r="D2" s="1">
        <v>5640</v>
      </c>
      <c r="F2">
        <f t="shared" ref="F2:F21" si="0">B2+C2*20</f>
        <v>2</v>
      </c>
    </row>
    <row r="3" spans="1:6" x14ac:dyDescent="0.25">
      <c r="A3">
        <v>51.71</v>
      </c>
      <c r="B3">
        <v>4</v>
      </c>
      <c r="C3">
        <v>0</v>
      </c>
      <c r="D3" s="1">
        <v>5041</v>
      </c>
      <c r="F3">
        <f t="shared" si="0"/>
        <v>4</v>
      </c>
    </row>
    <row r="4" spans="1:6" x14ac:dyDescent="0.25">
      <c r="A4">
        <v>63.76</v>
      </c>
      <c r="B4">
        <v>2</v>
      </c>
      <c r="C4">
        <v>0</v>
      </c>
      <c r="D4" s="1">
        <v>6205</v>
      </c>
      <c r="F4">
        <f t="shared" si="0"/>
        <v>2</v>
      </c>
    </row>
    <row r="5" spans="1:6" x14ac:dyDescent="0.25">
      <c r="A5">
        <v>53.1</v>
      </c>
      <c r="B5">
        <v>3</v>
      </c>
      <c r="C5">
        <v>0</v>
      </c>
      <c r="D5" s="1">
        <v>3211</v>
      </c>
      <c r="F5">
        <f t="shared" si="0"/>
        <v>3</v>
      </c>
    </row>
    <row r="6" spans="1:6" x14ac:dyDescent="0.25">
      <c r="A6">
        <v>60.28</v>
      </c>
      <c r="B6">
        <v>2</v>
      </c>
      <c r="C6">
        <v>0</v>
      </c>
      <c r="D6" s="1">
        <v>6205</v>
      </c>
      <c r="F6">
        <f t="shared" si="0"/>
        <v>2</v>
      </c>
    </row>
    <row r="7" spans="1:6" x14ac:dyDescent="0.25">
      <c r="A7">
        <v>56.87</v>
      </c>
      <c r="B7">
        <v>2</v>
      </c>
      <c r="C7">
        <v>0</v>
      </c>
      <c r="D7" s="1">
        <v>6205</v>
      </c>
      <c r="F7">
        <f t="shared" si="0"/>
        <v>2</v>
      </c>
    </row>
    <row r="8" spans="1:6" x14ac:dyDescent="0.25">
      <c r="A8">
        <v>62.66</v>
      </c>
      <c r="B8">
        <v>3</v>
      </c>
      <c r="C8">
        <v>0</v>
      </c>
      <c r="D8" s="1">
        <v>4102</v>
      </c>
      <c r="F8">
        <f t="shared" si="0"/>
        <v>3</v>
      </c>
    </row>
    <row r="9" spans="1:6" x14ac:dyDescent="0.25">
      <c r="A9">
        <v>61.74</v>
      </c>
      <c r="B9">
        <v>2</v>
      </c>
      <c r="C9">
        <v>0</v>
      </c>
      <c r="D9" s="1">
        <v>5617</v>
      </c>
      <c r="F9">
        <f t="shared" si="0"/>
        <v>2</v>
      </c>
    </row>
    <row r="10" spans="1:6" x14ac:dyDescent="0.25">
      <c r="A10">
        <v>69.77</v>
      </c>
      <c r="B10">
        <v>2</v>
      </c>
      <c r="C10">
        <v>0</v>
      </c>
      <c r="D10" s="1">
        <v>6433</v>
      </c>
      <c r="F10">
        <f t="shared" si="0"/>
        <v>2</v>
      </c>
    </row>
    <row r="11" spans="1:6" x14ac:dyDescent="0.25">
      <c r="A11">
        <v>59.28</v>
      </c>
      <c r="B11">
        <v>2</v>
      </c>
      <c r="C11">
        <v>0</v>
      </c>
      <c r="D11" s="1">
        <v>6062</v>
      </c>
      <c r="F11">
        <f t="shared" si="0"/>
        <v>2</v>
      </c>
    </row>
    <row r="12" spans="1:6" x14ac:dyDescent="0.25">
      <c r="A12">
        <v>62.28</v>
      </c>
      <c r="B12">
        <v>0</v>
      </c>
      <c r="C12">
        <v>0</v>
      </c>
      <c r="D12" s="1">
        <v>3611</v>
      </c>
      <c r="F12">
        <f t="shared" si="0"/>
        <v>0</v>
      </c>
    </row>
    <row r="13" spans="1:6" x14ac:dyDescent="0.25">
      <c r="A13">
        <v>61.94</v>
      </c>
      <c r="B13">
        <v>2</v>
      </c>
      <c r="C13">
        <v>0</v>
      </c>
      <c r="D13" s="1">
        <v>6205</v>
      </c>
      <c r="F13">
        <f t="shared" si="0"/>
        <v>2</v>
      </c>
    </row>
    <row r="14" spans="1:6" x14ac:dyDescent="0.25">
      <c r="A14">
        <v>65.47</v>
      </c>
      <c r="B14">
        <v>4</v>
      </c>
      <c r="C14">
        <v>0</v>
      </c>
      <c r="D14" s="1">
        <v>2593</v>
      </c>
      <c r="F14">
        <f t="shared" si="0"/>
        <v>4</v>
      </c>
    </row>
    <row r="15" spans="1:6" x14ac:dyDescent="0.25">
      <c r="A15">
        <v>69.91</v>
      </c>
      <c r="B15">
        <v>9</v>
      </c>
      <c r="C15">
        <v>0</v>
      </c>
      <c r="D15" s="1">
        <v>7019</v>
      </c>
      <c r="F15">
        <f t="shared" si="0"/>
        <v>9</v>
      </c>
    </row>
    <row r="16" spans="1:6" x14ac:dyDescent="0.25">
      <c r="A16">
        <v>67.45</v>
      </c>
      <c r="B16">
        <v>2</v>
      </c>
      <c r="C16">
        <v>0</v>
      </c>
      <c r="D16" s="1">
        <v>6433</v>
      </c>
      <c r="F16">
        <f t="shared" si="0"/>
        <v>2</v>
      </c>
    </row>
    <row r="17" spans="1:6" x14ac:dyDescent="0.25">
      <c r="A17">
        <v>75.489999999999995</v>
      </c>
      <c r="B17">
        <v>0</v>
      </c>
      <c r="C17">
        <v>0</v>
      </c>
      <c r="D17" s="1">
        <v>4520</v>
      </c>
      <c r="F17">
        <f t="shared" si="0"/>
        <v>0</v>
      </c>
    </row>
    <row r="18" spans="1:6" x14ac:dyDescent="0.25">
      <c r="A18">
        <v>55.62</v>
      </c>
      <c r="B18">
        <v>2</v>
      </c>
      <c r="C18">
        <v>0</v>
      </c>
      <c r="D18" s="1">
        <v>6205</v>
      </c>
      <c r="F18">
        <f t="shared" si="0"/>
        <v>2</v>
      </c>
    </row>
    <row r="19" spans="1:6" x14ac:dyDescent="0.25">
      <c r="A19">
        <v>64.069999999999993</v>
      </c>
      <c r="B19">
        <v>2</v>
      </c>
      <c r="C19">
        <v>0</v>
      </c>
      <c r="D19" s="1">
        <v>6433</v>
      </c>
      <c r="F19">
        <f t="shared" si="0"/>
        <v>2</v>
      </c>
    </row>
    <row r="20" spans="1:6" x14ac:dyDescent="0.25">
      <c r="A20">
        <v>81.73</v>
      </c>
      <c r="B20">
        <v>15</v>
      </c>
      <c r="C20">
        <v>0</v>
      </c>
      <c r="D20" s="1">
        <v>6748</v>
      </c>
      <c r="F20">
        <f t="shared" si="0"/>
        <v>15</v>
      </c>
    </row>
    <row r="21" spans="1:6" x14ac:dyDescent="0.25">
      <c r="A21">
        <v>69.73</v>
      </c>
      <c r="B21">
        <v>2</v>
      </c>
      <c r="C21">
        <v>0</v>
      </c>
      <c r="D21" s="1">
        <v>6433</v>
      </c>
      <c r="F21">
        <f t="shared" si="0"/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I1" t="s">
        <v>34</v>
      </c>
    </row>
    <row r="2" spans="1:9" x14ac:dyDescent="0.25">
      <c r="A2">
        <v>306.33</v>
      </c>
      <c r="B2">
        <v>2</v>
      </c>
      <c r="C2">
        <v>0</v>
      </c>
      <c r="D2" s="1">
        <v>4915</v>
      </c>
      <c r="F2">
        <f t="shared" ref="F2:F21" si="0">B2+C2*20</f>
        <v>2</v>
      </c>
      <c r="I2">
        <f>_xlfn.T.TEST(F2:F21,control!F2:F21,1,3)</f>
        <v>0.22128808027280272</v>
      </c>
    </row>
    <row r="3" spans="1:9" x14ac:dyDescent="0.25">
      <c r="A3">
        <v>330.98</v>
      </c>
      <c r="B3">
        <v>4</v>
      </c>
      <c r="C3">
        <v>0</v>
      </c>
      <c r="D3" s="1">
        <v>3378</v>
      </c>
      <c r="F3">
        <f t="shared" si="0"/>
        <v>4</v>
      </c>
    </row>
    <row r="4" spans="1:9" x14ac:dyDescent="0.25">
      <c r="A4">
        <v>296.06</v>
      </c>
      <c r="B4">
        <v>3</v>
      </c>
      <c r="C4">
        <v>0</v>
      </c>
      <c r="D4" s="1">
        <v>2286</v>
      </c>
      <c r="F4">
        <f t="shared" si="0"/>
        <v>3</v>
      </c>
    </row>
    <row r="5" spans="1:9" x14ac:dyDescent="0.25">
      <c r="A5">
        <v>309.77</v>
      </c>
      <c r="B5">
        <v>17</v>
      </c>
      <c r="C5">
        <v>0</v>
      </c>
      <c r="D5" s="1">
        <v>7767</v>
      </c>
      <c r="F5">
        <f t="shared" si="0"/>
        <v>17</v>
      </c>
    </row>
    <row r="6" spans="1:9" x14ac:dyDescent="0.25">
      <c r="A6">
        <v>323.18</v>
      </c>
      <c r="B6">
        <v>45</v>
      </c>
      <c r="C6">
        <v>0</v>
      </c>
      <c r="D6" s="1">
        <v>5110</v>
      </c>
      <c r="F6">
        <f t="shared" si="0"/>
        <v>45</v>
      </c>
    </row>
    <row r="7" spans="1:9" x14ac:dyDescent="0.25">
      <c r="A7">
        <v>314.36</v>
      </c>
      <c r="B7">
        <v>3</v>
      </c>
      <c r="C7">
        <v>0</v>
      </c>
      <c r="D7" s="1">
        <v>4075</v>
      </c>
      <c r="F7">
        <f t="shared" si="0"/>
        <v>3</v>
      </c>
    </row>
    <row r="8" spans="1:9" x14ac:dyDescent="0.25">
      <c r="A8">
        <v>338.69</v>
      </c>
      <c r="B8">
        <v>13</v>
      </c>
      <c r="C8">
        <v>0</v>
      </c>
      <c r="D8" s="1">
        <v>5568</v>
      </c>
      <c r="F8">
        <f t="shared" si="0"/>
        <v>13</v>
      </c>
    </row>
    <row r="9" spans="1:9" x14ac:dyDescent="0.25">
      <c r="A9">
        <v>352.45</v>
      </c>
      <c r="B9">
        <v>36</v>
      </c>
      <c r="C9">
        <v>0</v>
      </c>
      <c r="D9" s="1">
        <v>2438</v>
      </c>
      <c r="F9">
        <f t="shared" si="0"/>
        <v>36</v>
      </c>
    </row>
    <row r="10" spans="1:9" x14ac:dyDescent="0.25">
      <c r="A10">
        <v>298.89</v>
      </c>
      <c r="B10">
        <v>21</v>
      </c>
      <c r="C10">
        <v>0</v>
      </c>
      <c r="D10" s="1">
        <v>7674</v>
      </c>
      <c r="F10">
        <f t="shared" si="0"/>
        <v>21</v>
      </c>
    </row>
    <row r="11" spans="1:9" x14ac:dyDescent="0.25">
      <c r="A11">
        <v>315.19</v>
      </c>
      <c r="B11">
        <v>2</v>
      </c>
      <c r="C11">
        <v>0</v>
      </c>
      <c r="D11" s="1">
        <v>3162</v>
      </c>
      <c r="F11">
        <f t="shared" si="0"/>
        <v>2</v>
      </c>
    </row>
    <row r="12" spans="1:9" x14ac:dyDescent="0.25">
      <c r="A12">
        <v>277.89</v>
      </c>
      <c r="B12">
        <v>33</v>
      </c>
      <c r="C12">
        <v>0</v>
      </c>
      <c r="D12" s="1">
        <v>2762</v>
      </c>
      <c r="F12">
        <f t="shared" si="0"/>
        <v>33</v>
      </c>
    </row>
    <row r="13" spans="1:9" x14ac:dyDescent="0.25">
      <c r="A13">
        <v>343.79</v>
      </c>
      <c r="B13">
        <v>41</v>
      </c>
      <c r="C13">
        <v>0</v>
      </c>
      <c r="D13" s="1">
        <v>3227</v>
      </c>
      <c r="F13">
        <f t="shared" si="0"/>
        <v>41</v>
      </c>
    </row>
    <row r="14" spans="1:9" x14ac:dyDescent="0.25">
      <c r="A14">
        <v>320.20999999999998</v>
      </c>
      <c r="B14">
        <v>25</v>
      </c>
      <c r="C14">
        <v>0</v>
      </c>
      <c r="D14" s="1">
        <v>5161</v>
      </c>
      <c r="F14">
        <f t="shared" si="0"/>
        <v>25</v>
      </c>
    </row>
    <row r="15" spans="1:9" x14ac:dyDescent="0.25">
      <c r="A15">
        <v>292.02</v>
      </c>
      <c r="B15">
        <v>12</v>
      </c>
      <c r="C15">
        <v>0</v>
      </c>
      <c r="D15" s="1">
        <v>6423</v>
      </c>
      <c r="F15">
        <f t="shared" si="0"/>
        <v>12</v>
      </c>
    </row>
    <row r="16" spans="1:9" x14ac:dyDescent="0.25">
      <c r="A16">
        <v>298.95999999999998</v>
      </c>
      <c r="B16">
        <v>5</v>
      </c>
      <c r="C16">
        <v>0</v>
      </c>
      <c r="D16" s="1">
        <v>6360</v>
      </c>
      <c r="F16">
        <f t="shared" si="0"/>
        <v>5</v>
      </c>
    </row>
    <row r="17" spans="1:6" x14ac:dyDescent="0.25">
      <c r="A17">
        <v>315.99</v>
      </c>
      <c r="B17">
        <v>30</v>
      </c>
      <c r="C17">
        <v>0</v>
      </c>
      <c r="D17" s="1">
        <v>4888</v>
      </c>
      <c r="F17">
        <f t="shared" si="0"/>
        <v>30</v>
      </c>
    </row>
    <row r="18" spans="1:6" x14ac:dyDescent="0.25">
      <c r="A18">
        <v>322.95999999999998</v>
      </c>
      <c r="B18">
        <v>10</v>
      </c>
      <c r="C18">
        <v>0</v>
      </c>
      <c r="D18" s="1">
        <v>8692</v>
      </c>
      <c r="F18">
        <f t="shared" si="0"/>
        <v>10</v>
      </c>
    </row>
    <row r="19" spans="1:6" x14ac:dyDescent="0.25">
      <c r="A19">
        <v>277.49</v>
      </c>
      <c r="B19">
        <v>2</v>
      </c>
      <c r="C19">
        <v>0</v>
      </c>
      <c r="D19" s="1">
        <v>4817</v>
      </c>
      <c r="F19">
        <f t="shared" si="0"/>
        <v>2</v>
      </c>
    </row>
    <row r="20" spans="1:6" x14ac:dyDescent="0.25">
      <c r="A20">
        <v>298.51</v>
      </c>
      <c r="B20">
        <v>33</v>
      </c>
      <c r="C20">
        <v>0</v>
      </c>
      <c r="D20" s="1">
        <v>3684</v>
      </c>
      <c r="F20">
        <f t="shared" si="0"/>
        <v>33</v>
      </c>
    </row>
    <row r="21" spans="1:6" x14ac:dyDescent="0.25">
      <c r="A21">
        <v>300.79000000000002</v>
      </c>
      <c r="B21">
        <v>95</v>
      </c>
      <c r="C21">
        <v>0</v>
      </c>
      <c r="D21" s="1">
        <v>3673</v>
      </c>
      <c r="F21">
        <f t="shared" si="0"/>
        <v>95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  <c r="I1" t="s">
        <v>44</v>
      </c>
    </row>
    <row r="2" spans="1:9" x14ac:dyDescent="0.25">
      <c r="A2">
        <v>595.82000000000005</v>
      </c>
      <c r="B2">
        <v>88</v>
      </c>
      <c r="C2">
        <v>1</v>
      </c>
      <c r="D2" s="1">
        <v>3079</v>
      </c>
      <c r="F2">
        <f t="shared" ref="F2:F21" si="0">B2+C2*20</f>
        <v>108</v>
      </c>
      <c r="H2">
        <f>_xlfn.T.TEST(F2:F21,control!F2:F21,1,3)</f>
        <v>3.1277744019775834E-3</v>
      </c>
      <c r="I2">
        <f>_xlfn.T.TEST(F2:F21,'high-iteration'!F2:F21,1,3)</f>
        <v>0.1737865350325441</v>
      </c>
    </row>
    <row r="3" spans="1:9" x14ac:dyDescent="0.25">
      <c r="A3">
        <v>564.59</v>
      </c>
      <c r="B3">
        <v>44</v>
      </c>
      <c r="C3">
        <v>0</v>
      </c>
      <c r="D3" s="1">
        <v>6018</v>
      </c>
      <c r="F3">
        <f t="shared" si="0"/>
        <v>44</v>
      </c>
    </row>
    <row r="4" spans="1:9" x14ac:dyDescent="0.25">
      <c r="A4">
        <v>559.64</v>
      </c>
      <c r="B4">
        <v>31</v>
      </c>
      <c r="C4">
        <v>0</v>
      </c>
      <c r="D4" s="1">
        <v>5404</v>
      </c>
      <c r="F4">
        <f t="shared" si="0"/>
        <v>31</v>
      </c>
    </row>
    <row r="5" spans="1:9" x14ac:dyDescent="0.25">
      <c r="A5">
        <v>563.6</v>
      </c>
      <c r="B5">
        <v>71</v>
      </c>
      <c r="C5">
        <v>0</v>
      </c>
      <c r="D5" s="1">
        <v>4507</v>
      </c>
      <c r="F5">
        <f t="shared" si="0"/>
        <v>71</v>
      </c>
    </row>
    <row r="6" spans="1:9" x14ac:dyDescent="0.25">
      <c r="A6">
        <v>596.51</v>
      </c>
      <c r="B6">
        <v>84</v>
      </c>
      <c r="C6">
        <v>0</v>
      </c>
      <c r="D6" s="1">
        <v>3999</v>
      </c>
      <c r="F6">
        <f t="shared" si="0"/>
        <v>84</v>
      </c>
    </row>
    <row r="7" spans="1:9" x14ac:dyDescent="0.25">
      <c r="A7">
        <v>566.79999999999995</v>
      </c>
      <c r="B7">
        <v>47</v>
      </c>
      <c r="C7">
        <v>0</v>
      </c>
      <c r="D7" s="1">
        <v>3495</v>
      </c>
      <c r="F7">
        <f t="shared" si="0"/>
        <v>47</v>
      </c>
    </row>
    <row r="8" spans="1:9" x14ac:dyDescent="0.25">
      <c r="A8">
        <v>572.41</v>
      </c>
      <c r="B8">
        <v>39</v>
      </c>
      <c r="C8">
        <v>0</v>
      </c>
      <c r="D8" s="1">
        <v>4220</v>
      </c>
      <c r="F8">
        <f t="shared" si="0"/>
        <v>39</v>
      </c>
    </row>
    <row r="9" spans="1:9" x14ac:dyDescent="0.25">
      <c r="A9">
        <v>597.54</v>
      </c>
      <c r="B9">
        <v>31</v>
      </c>
      <c r="C9">
        <v>0</v>
      </c>
      <c r="D9" s="1">
        <v>3873</v>
      </c>
      <c r="F9">
        <f t="shared" si="0"/>
        <v>31</v>
      </c>
    </row>
    <row r="10" spans="1:9" x14ac:dyDescent="0.25">
      <c r="A10">
        <v>558.46</v>
      </c>
      <c r="B10">
        <v>27</v>
      </c>
      <c r="C10">
        <v>0</v>
      </c>
      <c r="D10" s="1">
        <v>6431</v>
      </c>
      <c r="F10">
        <f t="shared" si="0"/>
        <v>27</v>
      </c>
    </row>
    <row r="11" spans="1:9" x14ac:dyDescent="0.25">
      <c r="A11">
        <v>543.77</v>
      </c>
      <c r="B11">
        <v>19</v>
      </c>
      <c r="C11">
        <v>0</v>
      </c>
      <c r="D11" s="1">
        <v>6135</v>
      </c>
      <c r="F11">
        <f t="shared" si="0"/>
        <v>19</v>
      </c>
    </row>
    <row r="12" spans="1:9" x14ac:dyDescent="0.25">
      <c r="A12">
        <v>590.45000000000005</v>
      </c>
      <c r="B12">
        <v>39</v>
      </c>
      <c r="C12">
        <v>0</v>
      </c>
      <c r="D12" s="1">
        <v>5019</v>
      </c>
      <c r="F12">
        <f t="shared" si="0"/>
        <v>39</v>
      </c>
    </row>
    <row r="13" spans="1:9" x14ac:dyDescent="0.25">
      <c r="A13">
        <v>575.14</v>
      </c>
      <c r="B13">
        <v>8</v>
      </c>
      <c r="C13">
        <v>0</v>
      </c>
      <c r="D13" s="1">
        <v>5015</v>
      </c>
      <c r="F13">
        <f t="shared" si="0"/>
        <v>8</v>
      </c>
    </row>
    <row r="14" spans="1:9" x14ac:dyDescent="0.25">
      <c r="A14">
        <v>550.30999999999995</v>
      </c>
      <c r="B14">
        <v>78</v>
      </c>
      <c r="C14">
        <v>0</v>
      </c>
      <c r="D14" s="1">
        <v>3962</v>
      </c>
      <c r="F14">
        <f t="shared" si="0"/>
        <v>78</v>
      </c>
    </row>
    <row r="15" spans="1:9" x14ac:dyDescent="0.25">
      <c r="A15">
        <v>545.12</v>
      </c>
      <c r="B15">
        <v>75</v>
      </c>
      <c r="C15">
        <v>1</v>
      </c>
      <c r="D15" s="1">
        <v>3671</v>
      </c>
      <c r="F15">
        <f t="shared" si="0"/>
        <v>95</v>
      </c>
    </row>
    <row r="16" spans="1:9" x14ac:dyDescent="0.25">
      <c r="A16">
        <v>547.09</v>
      </c>
      <c r="B16">
        <v>48</v>
      </c>
      <c r="C16">
        <v>1</v>
      </c>
      <c r="D16" s="1">
        <v>4120</v>
      </c>
      <c r="F16">
        <f t="shared" si="0"/>
        <v>68</v>
      </c>
    </row>
    <row r="17" spans="1:6" x14ac:dyDescent="0.25">
      <c r="A17">
        <v>578.29999999999995</v>
      </c>
      <c r="B17">
        <v>20</v>
      </c>
      <c r="C17">
        <v>0</v>
      </c>
      <c r="D17" s="1">
        <v>6223</v>
      </c>
      <c r="F17">
        <f t="shared" si="0"/>
        <v>20</v>
      </c>
    </row>
    <row r="18" spans="1:6" x14ac:dyDescent="0.25">
      <c r="A18">
        <v>547.04999999999995</v>
      </c>
      <c r="B18">
        <v>84</v>
      </c>
      <c r="C18">
        <v>0</v>
      </c>
      <c r="D18" s="1">
        <v>4452</v>
      </c>
      <c r="F18">
        <f t="shared" si="0"/>
        <v>84</v>
      </c>
    </row>
    <row r="19" spans="1:6" x14ac:dyDescent="0.25">
      <c r="A19">
        <v>529.91999999999996</v>
      </c>
      <c r="B19">
        <v>4</v>
      </c>
      <c r="C19">
        <v>0</v>
      </c>
      <c r="D19" s="1">
        <v>5020</v>
      </c>
      <c r="F19">
        <f t="shared" si="0"/>
        <v>4</v>
      </c>
    </row>
    <row r="20" spans="1:6" x14ac:dyDescent="0.25">
      <c r="A20">
        <v>530.69000000000005</v>
      </c>
      <c r="B20">
        <v>73</v>
      </c>
      <c r="C20">
        <v>1</v>
      </c>
      <c r="D20" s="1">
        <v>3421</v>
      </c>
      <c r="F20">
        <f t="shared" si="0"/>
        <v>93</v>
      </c>
    </row>
    <row r="21" spans="1:6" x14ac:dyDescent="0.25">
      <c r="A21">
        <v>622.25</v>
      </c>
      <c r="B21">
        <v>80</v>
      </c>
      <c r="C21">
        <v>1</v>
      </c>
      <c r="D21" s="1">
        <v>2976</v>
      </c>
      <c r="F21">
        <f t="shared" si="0"/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21"/>
  <sheetViews>
    <sheetView workbookViewId="0">
      <selection activeCell="H3" sqref="H3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152.1</v>
      </c>
      <c r="B2">
        <v>38</v>
      </c>
      <c r="C2">
        <v>1</v>
      </c>
      <c r="D2" s="1">
        <v>4171</v>
      </c>
      <c r="F2">
        <f t="shared" ref="F2:F21" si="0">B2+C2*20</f>
        <v>58</v>
      </c>
      <c r="H2">
        <f>_xlfn.T.TEST(F2:F21,control!F2:F21,1,3)</f>
        <v>0.39568729593172264</v>
      </c>
    </row>
    <row r="3" spans="1:8" x14ac:dyDescent="0.25">
      <c r="A3">
        <v>145.66999999999999</v>
      </c>
      <c r="B3">
        <v>60</v>
      </c>
      <c r="C3">
        <v>1</v>
      </c>
      <c r="D3" s="1">
        <v>3173</v>
      </c>
      <c r="F3">
        <f t="shared" si="0"/>
        <v>80</v>
      </c>
    </row>
    <row r="4" spans="1:8" x14ac:dyDescent="0.25">
      <c r="A4">
        <v>141.31</v>
      </c>
      <c r="B4">
        <v>55</v>
      </c>
      <c r="C4">
        <v>0</v>
      </c>
      <c r="D4" s="1">
        <v>4962</v>
      </c>
      <c r="F4">
        <f t="shared" si="0"/>
        <v>55</v>
      </c>
    </row>
    <row r="5" spans="1:8" x14ac:dyDescent="0.25">
      <c r="A5">
        <v>131.05000000000001</v>
      </c>
      <c r="B5">
        <v>7</v>
      </c>
      <c r="C5">
        <v>0</v>
      </c>
      <c r="D5" s="1">
        <v>8280</v>
      </c>
      <c r="F5">
        <f t="shared" si="0"/>
        <v>7</v>
      </c>
    </row>
    <row r="6" spans="1:8" x14ac:dyDescent="0.25">
      <c r="A6">
        <v>145.75</v>
      </c>
      <c r="B6">
        <v>5</v>
      </c>
      <c r="C6">
        <v>0</v>
      </c>
      <c r="D6" s="1">
        <v>3373</v>
      </c>
      <c r="F6">
        <f t="shared" si="0"/>
        <v>5</v>
      </c>
    </row>
    <row r="7" spans="1:8" x14ac:dyDescent="0.25">
      <c r="A7">
        <v>159.93</v>
      </c>
      <c r="B7">
        <v>23</v>
      </c>
      <c r="C7">
        <v>0</v>
      </c>
      <c r="D7" s="1">
        <v>6568</v>
      </c>
      <c r="F7">
        <f t="shared" si="0"/>
        <v>23</v>
      </c>
    </row>
    <row r="8" spans="1:8" x14ac:dyDescent="0.25">
      <c r="A8">
        <v>143.66999999999999</v>
      </c>
      <c r="B8">
        <v>0</v>
      </c>
      <c r="C8">
        <v>0</v>
      </c>
      <c r="D8" s="1">
        <v>3580</v>
      </c>
      <c r="F8">
        <f t="shared" si="0"/>
        <v>0</v>
      </c>
    </row>
    <row r="9" spans="1:8" x14ac:dyDescent="0.25">
      <c r="A9">
        <v>151.16</v>
      </c>
      <c r="B9">
        <v>54</v>
      </c>
      <c r="C9">
        <v>1</v>
      </c>
      <c r="D9" s="1">
        <v>5461</v>
      </c>
      <c r="F9">
        <f t="shared" si="0"/>
        <v>74</v>
      </c>
    </row>
    <row r="10" spans="1:8" x14ac:dyDescent="0.25">
      <c r="A10">
        <v>154.13</v>
      </c>
      <c r="B10">
        <v>2</v>
      </c>
      <c r="C10">
        <v>0</v>
      </c>
      <c r="D10" s="1">
        <v>4482</v>
      </c>
      <c r="F10">
        <f t="shared" si="0"/>
        <v>2</v>
      </c>
    </row>
    <row r="11" spans="1:8" x14ac:dyDescent="0.25">
      <c r="A11">
        <v>142.66999999999999</v>
      </c>
      <c r="B11">
        <v>5</v>
      </c>
      <c r="C11">
        <v>0</v>
      </c>
      <c r="D11" s="1">
        <v>4383</v>
      </c>
      <c r="F11">
        <f t="shared" si="0"/>
        <v>5</v>
      </c>
    </row>
    <row r="12" spans="1:8" x14ac:dyDescent="0.25">
      <c r="A12">
        <v>148.46</v>
      </c>
      <c r="B12">
        <v>55</v>
      </c>
      <c r="C12">
        <v>1</v>
      </c>
      <c r="D12" s="1">
        <v>2741</v>
      </c>
      <c r="F12">
        <f t="shared" si="0"/>
        <v>75</v>
      </c>
    </row>
    <row r="13" spans="1:8" x14ac:dyDescent="0.25">
      <c r="A13">
        <v>140.72</v>
      </c>
      <c r="B13">
        <v>28</v>
      </c>
      <c r="C13">
        <v>0</v>
      </c>
      <c r="D13" s="1">
        <v>5180</v>
      </c>
      <c r="F13">
        <f t="shared" si="0"/>
        <v>28</v>
      </c>
    </row>
    <row r="14" spans="1:8" x14ac:dyDescent="0.25">
      <c r="A14">
        <v>141.84</v>
      </c>
      <c r="B14">
        <v>17</v>
      </c>
      <c r="C14">
        <v>0</v>
      </c>
      <c r="D14" s="1">
        <v>2311</v>
      </c>
      <c r="F14">
        <f t="shared" si="0"/>
        <v>17</v>
      </c>
    </row>
    <row r="15" spans="1:8" x14ac:dyDescent="0.25">
      <c r="A15">
        <v>144.94</v>
      </c>
      <c r="B15">
        <v>6</v>
      </c>
      <c r="C15">
        <v>0</v>
      </c>
      <c r="D15" s="1">
        <v>4541</v>
      </c>
      <c r="F15">
        <f t="shared" si="0"/>
        <v>6</v>
      </c>
    </row>
    <row r="16" spans="1:8" x14ac:dyDescent="0.25">
      <c r="A16">
        <v>154</v>
      </c>
      <c r="B16">
        <v>19</v>
      </c>
      <c r="C16">
        <v>0</v>
      </c>
      <c r="D16" s="1">
        <v>7805</v>
      </c>
      <c r="F16">
        <f t="shared" si="0"/>
        <v>19</v>
      </c>
    </row>
    <row r="17" spans="1:6" x14ac:dyDescent="0.25">
      <c r="A17">
        <v>147.22</v>
      </c>
      <c r="B17">
        <v>2</v>
      </c>
      <c r="C17">
        <v>0</v>
      </c>
      <c r="D17" s="1">
        <v>2896</v>
      </c>
      <c r="F17">
        <f t="shared" si="0"/>
        <v>2</v>
      </c>
    </row>
    <row r="18" spans="1:6" x14ac:dyDescent="0.25">
      <c r="A18">
        <v>136.61000000000001</v>
      </c>
      <c r="B18">
        <v>2</v>
      </c>
      <c r="C18">
        <v>0</v>
      </c>
      <c r="D18" s="1">
        <v>6433</v>
      </c>
      <c r="F18">
        <f t="shared" si="0"/>
        <v>2</v>
      </c>
    </row>
    <row r="19" spans="1:6" x14ac:dyDescent="0.25">
      <c r="A19">
        <v>166.52</v>
      </c>
      <c r="B19">
        <v>37</v>
      </c>
      <c r="C19">
        <v>1</v>
      </c>
      <c r="D19" s="1">
        <v>5563</v>
      </c>
      <c r="F19">
        <f t="shared" si="0"/>
        <v>57</v>
      </c>
    </row>
    <row r="20" spans="1:6" x14ac:dyDescent="0.25">
      <c r="A20">
        <v>146.30000000000001</v>
      </c>
      <c r="B20">
        <v>42</v>
      </c>
      <c r="C20">
        <v>0</v>
      </c>
      <c r="D20" s="1">
        <v>7065</v>
      </c>
      <c r="F20">
        <f t="shared" si="0"/>
        <v>42</v>
      </c>
    </row>
    <row r="21" spans="1:6" x14ac:dyDescent="0.25">
      <c r="A21">
        <v>133.81</v>
      </c>
      <c r="B21">
        <v>38</v>
      </c>
      <c r="C21">
        <v>0</v>
      </c>
      <c r="D21" s="1">
        <v>2475</v>
      </c>
      <c r="F21">
        <f t="shared" si="0"/>
        <v>38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1118.1199999999999</v>
      </c>
      <c r="B2">
        <v>59</v>
      </c>
      <c r="C2">
        <v>0</v>
      </c>
      <c r="D2" s="1">
        <v>4978</v>
      </c>
      <c r="F2">
        <f t="shared" ref="F2:F21" si="0">B2+C2*20</f>
        <v>59</v>
      </c>
      <c r="H2">
        <f>_xlfn.T.TEST(F2:F21,control!F2:F21,1,3)</f>
        <v>1.0141875290376903E-2</v>
      </c>
    </row>
    <row r="3" spans="1:8" x14ac:dyDescent="0.25">
      <c r="A3">
        <v>1069.49</v>
      </c>
      <c r="B3">
        <v>54</v>
      </c>
      <c r="C3">
        <v>1</v>
      </c>
      <c r="D3" s="1">
        <v>3063</v>
      </c>
      <c r="F3">
        <f t="shared" si="0"/>
        <v>74</v>
      </c>
    </row>
    <row r="4" spans="1:8" x14ac:dyDescent="0.25">
      <c r="A4">
        <v>1162.73</v>
      </c>
      <c r="B4">
        <v>38</v>
      </c>
      <c r="C4">
        <v>0</v>
      </c>
      <c r="D4" s="1">
        <v>3014</v>
      </c>
      <c r="F4">
        <f t="shared" si="0"/>
        <v>38</v>
      </c>
    </row>
    <row r="5" spans="1:8" x14ac:dyDescent="0.25">
      <c r="A5">
        <v>1190.07</v>
      </c>
      <c r="B5">
        <v>35</v>
      </c>
      <c r="C5">
        <v>0</v>
      </c>
      <c r="D5" s="1">
        <v>4250</v>
      </c>
      <c r="F5">
        <f t="shared" si="0"/>
        <v>35</v>
      </c>
    </row>
    <row r="6" spans="1:8" x14ac:dyDescent="0.25">
      <c r="A6">
        <v>1072.8800000000001</v>
      </c>
      <c r="B6">
        <v>47</v>
      </c>
      <c r="C6">
        <v>2</v>
      </c>
      <c r="D6" s="1">
        <v>3476</v>
      </c>
      <c r="F6">
        <f t="shared" si="0"/>
        <v>87</v>
      </c>
    </row>
    <row r="7" spans="1:8" x14ac:dyDescent="0.25">
      <c r="A7">
        <v>1144.6400000000001</v>
      </c>
      <c r="B7">
        <v>4</v>
      </c>
      <c r="C7">
        <v>0</v>
      </c>
      <c r="D7" s="1">
        <v>5734</v>
      </c>
      <c r="F7">
        <f t="shared" si="0"/>
        <v>4</v>
      </c>
    </row>
    <row r="8" spans="1:8" x14ac:dyDescent="0.25">
      <c r="A8">
        <v>1176.9100000000001</v>
      </c>
      <c r="B8">
        <v>26</v>
      </c>
      <c r="C8">
        <v>0</v>
      </c>
      <c r="D8" s="1">
        <v>3390</v>
      </c>
      <c r="F8">
        <f t="shared" si="0"/>
        <v>26</v>
      </c>
    </row>
    <row r="9" spans="1:8" x14ac:dyDescent="0.25">
      <c r="A9">
        <v>1224.97</v>
      </c>
      <c r="B9">
        <v>33</v>
      </c>
      <c r="C9">
        <v>0</v>
      </c>
      <c r="D9" s="1">
        <v>5455</v>
      </c>
      <c r="F9">
        <f t="shared" si="0"/>
        <v>33</v>
      </c>
    </row>
    <row r="10" spans="1:8" x14ac:dyDescent="0.25">
      <c r="A10">
        <v>1043.06</v>
      </c>
      <c r="B10">
        <v>49</v>
      </c>
      <c r="C10">
        <v>2</v>
      </c>
      <c r="D10" s="1">
        <v>3414</v>
      </c>
      <c r="F10">
        <f t="shared" si="0"/>
        <v>89</v>
      </c>
    </row>
    <row r="11" spans="1:8" x14ac:dyDescent="0.25">
      <c r="A11">
        <v>1107.9000000000001</v>
      </c>
      <c r="B11">
        <v>49</v>
      </c>
      <c r="C11">
        <v>1</v>
      </c>
      <c r="D11" s="1">
        <v>5362</v>
      </c>
      <c r="F11">
        <f t="shared" si="0"/>
        <v>69</v>
      </c>
    </row>
    <row r="12" spans="1:8" x14ac:dyDescent="0.25">
      <c r="A12">
        <v>1204.74</v>
      </c>
      <c r="B12">
        <v>39</v>
      </c>
      <c r="C12">
        <v>1</v>
      </c>
      <c r="D12" s="1">
        <v>3831</v>
      </c>
      <c r="F12">
        <f t="shared" si="0"/>
        <v>59</v>
      </c>
    </row>
    <row r="13" spans="1:8" x14ac:dyDescent="0.25">
      <c r="A13">
        <v>1117.76</v>
      </c>
      <c r="B13">
        <v>58</v>
      </c>
      <c r="C13">
        <v>0</v>
      </c>
      <c r="D13" s="1">
        <v>4034</v>
      </c>
      <c r="F13">
        <f t="shared" si="0"/>
        <v>58</v>
      </c>
    </row>
    <row r="14" spans="1:8" x14ac:dyDescent="0.25">
      <c r="A14">
        <v>1157.58</v>
      </c>
      <c r="B14">
        <v>40</v>
      </c>
      <c r="C14">
        <v>0</v>
      </c>
      <c r="D14" s="1">
        <v>4358</v>
      </c>
      <c r="F14">
        <f t="shared" si="0"/>
        <v>40</v>
      </c>
    </row>
    <row r="15" spans="1:8" x14ac:dyDescent="0.25">
      <c r="A15">
        <v>1136.99</v>
      </c>
      <c r="B15">
        <v>23</v>
      </c>
      <c r="C15">
        <v>0</v>
      </c>
      <c r="D15" s="1">
        <v>5776</v>
      </c>
      <c r="F15">
        <f t="shared" si="0"/>
        <v>23</v>
      </c>
    </row>
    <row r="16" spans="1:8" x14ac:dyDescent="0.25">
      <c r="A16">
        <v>1173.0899999999999</v>
      </c>
      <c r="B16">
        <v>23</v>
      </c>
      <c r="C16">
        <v>0</v>
      </c>
      <c r="D16" s="1">
        <v>5396</v>
      </c>
      <c r="F16">
        <f t="shared" si="0"/>
        <v>23</v>
      </c>
    </row>
    <row r="17" spans="1:6" x14ac:dyDescent="0.25">
      <c r="A17">
        <v>1137.8</v>
      </c>
      <c r="B17">
        <v>43</v>
      </c>
      <c r="C17">
        <v>0</v>
      </c>
      <c r="D17" s="1">
        <v>4580</v>
      </c>
      <c r="F17">
        <f t="shared" si="0"/>
        <v>43</v>
      </c>
    </row>
    <row r="18" spans="1:6" x14ac:dyDescent="0.25">
      <c r="A18">
        <v>1243.03</v>
      </c>
      <c r="B18">
        <v>40</v>
      </c>
      <c r="C18">
        <v>1</v>
      </c>
      <c r="D18" s="1">
        <v>4935</v>
      </c>
      <c r="F18">
        <f t="shared" si="0"/>
        <v>60</v>
      </c>
    </row>
    <row r="19" spans="1:6" x14ac:dyDescent="0.25">
      <c r="A19">
        <v>1133.76</v>
      </c>
      <c r="B19">
        <v>38</v>
      </c>
      <c r="C19">
        <v>0</v>
      </c>
      <c r="D19" s="1">
        <v>4542</v>
      </c>
      <c r="F19">
        <f t="shared" si="0"/>
        <v>38</v>
      </c>
    </row>
    <row r="20" spans="1:6" x14ac:dyDescent="0.25">
      <c r="A20">
        <v>1061.4000000000001</v>
      </c>
      <c r="B20">
        <v>23</v>
      </c>
      <c r="C20">
        <v>0</v>
      </c>
      <c r="D20" s="1">
        <v>7100</v>
      </c>
      <c r="F20">
        <f t="shared" si="0"/>
        <v>23</v>
      </c>
    </row>
    <row r="21" spans="1:6" x14ac:dyDescent="0.25">
      <c r="A21">
        <v>1083.31</v>
      </c>
      <c r="B21">
        <v>39</v>
      </c>
      <c r="C21">
        <v>0</v>
      </c>
      <c r="D21" s="1">
        <v>4121</v>
      </c>
      <c r="F21">
        <f t="shared" si="0"/>
        <v>39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766.94</v>
      </c>
      <c r="B2">
        <v>19</v>
      </c>
      <c r="C2">
        <v>0</v>
      </c>
      <c r="D2" s="1">
        <v>2829</v>
      </c>
      <c r="F2">
        <f t="shared" ref="F2:F21" si="0">B2+C2*20</f>
        <v>19</v>
      </c>
      <c r="H2">
        <f>_xlfn.T.TEST(F2:F21,control!F2:F21,1,3)</f>
        <v>6.8861717123618479E-2</v>
      </c>
    </row>
    <row r="3" spans="1:8" x14ac:dyDescent="0.25">
      <c r="A3">
        <v>729.16</v>
      </c>
      <c r="B3">
        <v>35</v>
      </c>
      <c r="C3">
        <v>1</v>
      </c>
      <c r="D3" s="1">
        <v>4488</v>
      </c>
      <c r="F3">
        <f t="shared" si="0"/>
        <v>55</v>
      </c>
    </row>
    <row r="4" spans="1:8" x14ac:dyDescent="0.25">
      <c r="A4">
        <v>374.59</v>
      </c>
      <c r="B4">
        <v>5</v>
      </c>
      <c r="C4">
        <v>0</v>
      </c>
      <c r="D4" s="1">
        <v>5511</v>
      </c>
      <c r="F4">
        <f t="shared" si="0"/>
        <v>5</v>
      </c>
    </row>
    <row r="5" spans="1:8" x14ac:dyDescent="0.25">
      <c r="A5">
        <v>748.37</v>
      </c>
      <c r="B5">
        <v>7</v>
      </c>
      <c r="C5">
        <v>0</v>
      </c>
      <c r="D5" s="1">
        <v>7212</v>
      </c>
      <c r="F5">
        <f t="shared" si="0"/>
        <v>7</v>
      </c>
    </row>
    <row r="6" spans="1:8" x14ac:dyDescent="0.25">
      <c r="A6">
        <v>323.55</v>
      </c>
      <c r="B6">
        <v>2</v>
      </c>
      <c r="C6">
        <v>0</v>
      </c>
      <c r="D6" s="1">
        <v>5312</v>
      </c>
      <c r="F6">
        <f t="shared" si="0"/>
        <v>2</v>
      </c>
    </row>
    <row r="7" spans="1:8" x14ac:dyDescent="0.25">
      <c r="A7">
        <v>599.29</v>
      </c>
      <c r="B7">
        <v>18</v>
      </c>
      <c r="C7">
        <v>0</v>
      </c>
      <c r="D7" s="1">
        <v>4171</v>
      </c>
      <c r="F7">
        <f t="shared" si="0"/>
        <v>18</v>
      </c>
    </row>
    <row r="8" spans="1:8" x14ac:dyDescent="0.25">
      <c r="A8">
        <v>590.09</v>
      </c>
      <c r="B8">
        <v>3</v>
      </c>
      <c r="C8">
        <v>0</v>
      </c>
      <c r="D8" s="1">
        <v>2278</v>
      </c>
      <c r="F8">
        <f t="shared" si="0"/>
        <v>3</v>
      </c>
    </row>
    <row r="9" spans="1:8" x14ac:dyDescent="0.25">
      <c r="A9">
        <v>687.76</v>
      </c>
      <c r="B9">
        <v>13</v>
      </c>
      <c r="C9">
        <v>0</v>
      </c>
      <c r="D9" s="1">
        <v>8170</v>
      </c>
      <c r="F9">
        <f t="shared" si="0"/>
        <v>13</v>
      </c>
    </row>
    <row r="10" spans="1:8" x14ac:dyDescent="0.25">
      <c r="A10">
        <v>626.47</v>
      </c>
      <c r="B10">
        <v>11</v>
      </c>
      <c r="C10">
        <v>0</v>
      </c>
      <c r="D10" s="1">
        <v>4546</v>
      </c>
      <c r="F10">
        <f t="shared" si="0"/>
        <v>11</v>
      </c>
    </row>
    <row r="11" spans="1:8" x14ac:dyDescent="0.25">
      <c r="A11">
        <v>734.69</v>
      </c>
      <c r="B11">
        <v>17</v>
      </c>
      <c r="C11">
        <v>0</v>
      </c>
      <c r="D11" s="1">
        <v>3349</v>
      </c>
      <c r="F11">
        <f t="shared" si="0"/>
        <v>17</v>
      </c>
    </row>
    <row r="12" spans="1:8" x14ac:dyDescent="0.25">
      <c r="A12">
        <v>681.96</v>
      </c>
      <c r="B12">
        <v>33</v>
      </c>
      <c r="C12">
        <v>1</v>
      </c>
      <c r="D12" s="1">
        <v>4907</v>
      </c>
      <c r="F12">
        <f t="shared" si="0"/>
        <v>53</v>
      </c>
    </row>
    <row r="13" spans="1:8" x14ac:dyDescent="0.25">
      <c r="A13">
        <v>672.8</v>
      </c>
      <c r="B13">
        <v>47</v>
      </c>
      <c r="C13">
        <v>0</v>
      </c>
      <c r="D13" s="1">
        <v>2977</v>
      </c>
      <c r="F13">
        <f t="shared" si="0"/>
        <v>47</v>
      </c>
    </row>
    <row r="14" spans="1:8" x14ac:dyDescent="0.25">
      <c r="A14">
        <v>690.43</v>
      </c>
      <c r="B14">
        <v>13</v>
      </c>
      <c r="C14">
        <v>0</v>
      </c>
      <c r="D14" s="1">
        <v>8271</v>
      </c>
      <c r="F14">
        <f t="shared" si="0"/>
        <v>13</v>
      </c>
    </row>
    <row r="15" spans="1:8" x14ac:dyDescent="0.25">
      <c r="A15">
        <v>544.77</v>
      </c>
      <c r="B15">
        <v>2</v>
      </c>
      <c r="C15">
        <v>0</v>
      </c>
      <c r="D15" s="1">
        <v>5933</v>
      </c>
      <c r="F15">
        <f t="shared" si="0"/>
        <v>2</v>
      </c>
    </row>
    <row r="16" spans="1:8" x14ac:dyDescent="0.25">
      <c r="A16">
        <v>680.06</v>
      </c>
      <c r="B16">
        <v>6</v>
      </c>
      <c r="C16">
        <v>0</v>
      </c>
      <c r="D16" s="1">
        <v>6437</v>
      </c>
      <c r="F16">
        <f t="shared" si="0"/>
        <v>6</v>
      </c>
    </row>
    <row r="17" spans="1:6" x14ac:dyDescent="0.25">
      <c r="A17">
        <v>692.57</v>
      </c>
      <c r="B17">
        <v>23</v>
      </c>
      <c r="C17">
        <v>0</v>
      </c>
      <c r="D17" s="1">
        <v>3670</v>
      </c>
      <c r="F17">
        <f t="shared" si="0"/>
        <v>23</v>
      </c>
    </row>
    <row r="18" spans="1:6" x14ac:dyDescent="0.25">
      <c r="A18">
        <v>688.73</v>
      </c>
      <c r="B18">
        <v>21</v>
      </c>
      <c r="C18">
        <v>0</v>
      </c>
      <c r="D18" s="1">
        <v>6928</v>
      </c>
      <c r="F18">
        <f t="shared" si="0"/>
        <v>21</v>
      </c>
    </row>
    <row r="19" spans="1:6" x14ac:dyDescent="0.25">
      <c r="A19">
        <v>641.87</v>
      </c>
      <c r="B19">
        <v>8</v>
      </c>
      <c r="C19">
        <v>0</v>
      </c>
      <c r="D19" s="1">
        <v>2625</v>
      </c>
      <c r="F19">
        <f t="shared" si="0"/>
        <v>8</v>
      </c>
    </row>
    <row r="20" spans="1:6" x14ac:dyDescent="0.25">
      <c r="A20">
        <v>686.38</v>
      </c>
      <c r="B20">
        <v>18</v>
      </c>
      <c r="C20">
        <v>0</v>
      </c>
      <c r="D20" s="1">
        <v>6357</v>
      </c>
      <c r="F20">
        <f t="shared" si="0"/>
        <v>18</v>
      </c>
    </row>
    <row r="21" spans="1:6" x14ac:dyDescent="0.25">
      <c r="A21">
        <v>750.97</v>
      </c>
      <c r="B21">
        <v>3</v>
      </c>
      <c r="C21">
        <v>0</v>
      </c>
      <c r="D21" s="1">
        <v>6233</v>
      </c>
      <c r="F21">
        <f t="shared" si="0"/>
        <v>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316.88</v>
      </c>
      <c r="B2">
        <v>11</v>
      </c>
      <c r="C2">
        <v>0</v>
      </c>
      <c r="D2" s="1">
        <v>3540</v>
      </c>
      <c r="F2">
        <f t="shared" ref="F2:F21" si="0">B2+C2*20</f>
        <v>11</v>
      </c>
      <c r="H2">
        <f>_xlfn.T.TEST(F2:F21,control!F2:F21,1,3)</f>
        <v>0.46808042023183749</v>
      </c>
    </row>
    <row r="3" spans="1:8" x14ac:dyDescent="0.25">
      <c r="A3">
        <v>345.62</v>
      </c>
      <c r="B3">
        <v>32</v>
      </c>
      <c r="C3">
        <v>0</v>
      </c>
      <c r="D3" s="1">
        <v>4217</v>
      </c>
      <c r="F3">
        <f t="shared" si="0"/>
        <v>32</v>
      </c>
    </row>
    <row r="4" spans="1:8" x14ac:dyDescent="0.25">
      <c r="A4">
        <v>348.1</v>
      </c>
      <c r="B4">
        <v>15</v>
      </c>
      <c r="C4">
        <v>0</v>
      </c>
      <c r="D4" s="1">
        <v>6433</v>
      </c>
      <c r="F4">
        <f t="shared" si="0"/>
        <v>15</v>
      </c>
    </row>
    <row r="5" spans="1:8" x14ac:dyDescent="0.25">
      <c r="A5">
        <v>328.53</v>
      </c>
      <c r="B5">
        <v>9</v>
      </c>
      <c r="C5">
        <v>0</v>
      </c>
      <c r="D5" s="1">
        <v>5194</v>
      </c>
      <c r="F5">
        <f t="shared" si="0"/>
        <v>9</v>
      </c>
    </row>
    <row r="6" spans="1:8" x14ac:dyDescent="0.25">
      <c r="A6">
        <v>303.49</v>
      </c>
      <c r="B6">
        <v>5</v>
      </c>
      <c r="C6">
        <v>0</v>
      </c>
      <c r="D6" s="1">
        <v>3305</v>
      </c>
      <c r="F6">
        <f t="shared" si="0"/>
        <v>5</v>
      </c>
    </row>
    <row r="7" spans="1:8" x14ac:dyDescent="0.25">
      <c r="A7">
        <v>314.68</v>
      </c>
      <c r="B7">
        <v>15</v>
      </c>
      <c r="C7">
        <v>0</v>
      </c>
      <c r="D7" s="1">
        <v>5636</v>
      </c>
      <c r="F7">
        <f t="shared" si="0"/>
        <v>15</v>
      </c>
    </row>
    <row r="8" spans="1:8" x14ac:dyDescent="0.25">
      <c r="A8">
        <v>390.4</v>
      </c>
      <c r="B8">
        <v>22</v>
      </c>
      <c r="C8">
        <v>0</v>
      </c>
      <c r="D8" s="1">
        <v>5980</v>
      </c>
      <c r="F8">
        <f t="shared" si="0"/>
        <v>22</v>
      </c>
    </row>
    <row r="9" spans="1:8" x14ac:dyDescent="0.25">
      <c r="A9">
        <v>351.72</v>
      </c>
      <c r="B9">
        <v>16</v>
      </c>
      <c r="C9">
        <v>0</v>
      </c>
      <c r="D9" s="1">
        <v>6686</v>
      </c>
      <c r="F9">
        <f t="shared" si="0"/>
        <v>16</v>
      </c>
    </row>
    <row r="10" spans="1:8" x14ac:dyDescent="0.25">
      <c r="A10">
        <v>305.77999999999997</v>
      </c>
      <c r="B10">
        <v>49</v>
      </c>
      <c r="C10">
        <v>1</v>
      </c>
      <c r="D10" s="1">
        <v>4925</v>
      </c>
      <c r="F10">
        <f t="shared" si="0"/>
        <v>69</v>
      </c>
    </row>
    <row r="11" spans="1:8" x14ac:dyDescent="0.25">
      <c r="A11">
        <v>386.04</v>
      </c>
      <c r="B11">
        <v>28</v>
      </c>
      <c r="C11">
        <v>0</v>
      </c>
      <c r="D11" s="1">
        <v>4593</v>
      </c>
      <c r="F11">
        <f t="shared" si="0"/>
        <v>28</v>
      </c>
    </row>
    <row r="12" spans="1:8" x14ac:dyDescent="0.25">
      <c r="A12">
        <v>331.71</v>
      </c>
      <c r="B12">
        <v>17</v>
      </c>
      <c r="C12">
        <v>0</v>
      </c>
      <c r="D12" s="1">
        <v>5843</v>
      </c>
      <c r="F12">
        <f t="shared" si="0"/>
        <v>17</v>
      </c>
    </row>
    <row r="13" spans="1:8" x14ac:dyDescent="0.25">
      <c r="A13">
        <v>354.3</v>
      </c>
      <c r="B13">
        <v>3</v>
      </c>
      <c r="C13">
        <v>0</v>
      </c>
      <c r="D13" s="1">
        <v>4829</v>
      </c>
      <c r="F13">
        <f t="shared" si="0"/>
        <v>3</v>
      </c>
    </row>
    <row r="14" spans="1:8" x14ac:dyDescent="0.25">
      <c r="A14">
        <v>379.22</v>
      </c>
      <c r="B14">
        <v>30</v>
      </c>
      <c r="C14">
        <v>0</v>
      </c>
      <c r="D14" s="1">
        <v>3707</v>
      </c>
      <c r="F14">
        <f t="shared" si="0"/>
        <v>30</v>
      </c>
    </row>
    <row r="15" spans="1:8" x14ac:dyDescent="0.25">
      <c r="A15">
        <v>342.93</v>
      </c>
      <c r="B15">
        <v>37</v>
      </c>
      <c r="C15">
        <v>1</v>
      </c>
      <c r="D15" s="1">
        <v>2338</v>
      </c>
      <c r="F15">
        <f t="shared" si="0"/>
        <v>57</v>
      </c>
    </row>
    <row r="16" spans="1:8" x14ac:dyDescent="0.25">
      <c r="A16">
        <v>325.06</v>
      </c>
      <c r="B16">
        <v>44</v>
      </c>
      <c r="C16">
        <v>0</v>
      </c>
      <c r="D16" s="1">
        <v>3296</v>
      </c>
      <c r="F16">
        <f t="shared" si="0"/>
        <v>44</v>
      </c>
    </row>
    <row r="17" spans="1:6" x14ac:dyDescent="0.25">
      <c r="A17">
        <v>294.62</v>
      </c>
      <c r="B17">
        <v>37</v>
      </c>
      <c r="C17">
        <v>0</v>
      </c>
      <c r="D17" s="1">
        <v>5197</v>
      </c>
      <c r="F17">
        <f t="shared" si="0"/>
        <v>37</v>
      </c>
    </row>
    <row r="18" spans="1:6" x14ac:dyDescent="0.25">
      <c r="A18">
        <v>370.12</v>
      </c>
      <c r="B18">
        <v>47</v>
      </c>
      <c r="C18">
        <v>1</v>
      </c>
      <c r="D18" s="1">
        <v>4185</v>
      </c>
      <c r="F18">
        <f t="shared" si="0"/>
        <v>67</v>
      </c>
    </row>
    <row r="19" spans="1:6" x14ac:dyDescent="0.25">
      <c r="A19">
        <v>316.85000000000002</v>
      </c>
      <c r="B19">
        <v>1</v>
      </c>
      <c r="C19">
        <v>0</v>
      </c>
      <c r="D19" s="1">
        <v>5405</v>
      </c>
      <c r="F19">
        <f t="shared" si="0"/>
        <v>1</v>
      </c>
    </row>
    <row r="20" spans="1:6" x14ac:dyDescent="0.25">
      <c r="A20">
        <v>382.09</v>
      </c>
      <c r="B20">
        <v>23</v>
      </c>
      <c r="C20">
        <v>0</v>
      </c>
      <c r="D20" s="1">
        <v>3554</v>
      </c>
      <c r="F20">
        <f t="shared" si="0"/>
        <v>23</v>
      </c>
    </row>
    <row r="21" spans="1:6" x14ac:dyDescent="0.25">
      <c r="A21">
        <v>299.61</v>
      </c>
      <c r="B21">
        <v>61</v>
      </c>
      <c r="C21">
        <v>0</v>
      </c>
      <c r="D21" s="1">
        <v>4077</v>
      </c>
      <c r="F21">
        <f t="shared" si="0"/>
        <v>61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994.78</v>
      </c>
      <c r="B2">
        <v>11</v>
      </c>
      <c r="C2">
        <v>0</v>
      </c>
      <c r="D2" s="1">
        <v>4208</v>
      </c>
      <c r="F2">
        <f t="shared" ref="F2:F21" si="0">B2+C2*20</f>
        <v>11</v>
      </c>
    </row>
    <row r="3" spans="1:6" x14ac:dyDescent="0.25">
      <c r="A3">
        <v>923.48</v>
      </c>
      <c r="B3">
        <v>2</v>
      </c>
      <c r="C3">
        <v>0</v>
      </c>
      <c r="D3" s="1">
        <v>3130</v>
      </c>
      <c r="F3">
        <f t="shared" si="0"/>
        <v>2</v>
      </c>
    </row>
    <row r="4" spans="1:6" x14ac:dyDescent="0.25">
      <c r="A4">
        <v>759.99</v>
      </c>
      <c r="B4">
        <v>2</v>
      </c>
      <c r="C4">
        <v>0</v>
      </c>
      <c r="D4" s="1">
        <v>3171</v>
      </c>
      <c r="F4">
        <f t="shared" si="0"/>
        <v>2</v>
      </c>
    </row>
    <row r="5" spans="1:6" x14ac:dyDescent="0.25">
      <c r="A5">
        <v>842.93</v>
      </c>
      <c r="B5">
        <v>19</v>
      </c>
      <c r="C5">
        <v>0</v>
      </c>
      <c r="D5" s="1">
        <v>5994</v>
      </c>
      <c r="F5">
        <f t="shared" si="0"/>
        <v>19</v>
      </c>
    </row>
    <row r="6" spans="1:6" x14ac:dyDescent="0.25">
      <c r="A6">
        <v>965.48</v>
      </c>
      <c r="B6">
        <v>14</v>
      </c>
      <c r="C6">
        <v>0</v>
      </c>
      <c r="D6" s="1">
        <v>6945</v>
      </c>
      <c r="F6">
        <f t="shared" si="0"/>
        <v>14</v>
      </c>
    </row>
    <row r="7" spans="1:6" x14ac:dyDescent="0.25">
      <c r="A7">
        <v>962.31</v>
      </c>
      <c r="B7">
        <v>9</v>
      </c>
      <c r="C7">
        <v>0</v>
      </c>
      <c r="D7" s="1">
        <v>8114</v>
      </c>
      <c r="F7">
        <f t="shared" si="0"/>
        <v>9</v>
      </c>
    </row>
    <row r="8" spans="1:6" x14ac:dyDescent="0.25">
      <c r="A8">
        <v>963.02</v>
      </c>
      <c r="B8">
        <v>32</v>
      </c>
      <c r="C8">
        <v>1</v>
      </c>
      <c r="D8" s="1">
        <v>3342</v>
      </c>
      <c r="F8">
        <f t="shared" si="0"/>
        <v>52</v>
      </c>
    </row>
    <row r="9" spans="1:6" x14ac:dyDescent="0.25">
      <c r="A9">
        <v>788.11</v>
      </c>
      <c r="B9">
        <v>10</v>
      </c>
      <c r="C9">
        <v>0</v>
      </c>
      <c r="D9" s="1">
        <v>9624</v>
      </c>
      <c r="F9">
        <f t="shared" si="0"/>
        <v>10</v>
      </c>
    </row>
    <row r="10" spans="1:6" x14ac:dyDescent="0.25">
      <c r="A10">
        <v>742.54</v>
      </c>
      <c r="B10">
        <v>10</v>
      </c>
      <c r="C10">
        <v>0</v>
      </c>
      <c r="D10" s="1">
        <v>8897</v>
      </c>
      <c r="F10">
        <f t="shared" si="0"/>
        <v>10</v>
      </c>
    </row>
    <row r="11" spans="1:6" x14ac:dyDescent="0.25">
      <c r="A11">
        <v>972.88</v>
      </c>
      <c r="B11">
        <v>33</v>
      </c>
      <c r="C11">
        <v>0</v>
      </c>
      <c r="D11" s="1">
        <v>3995</v>
      </c>
      <c r="F11">
        <f t="shared" si="0"/>
        <v>33</v>
      </c>
    </row>
    <row r="12" spans="1:6" x14ac:dyDescent="0.25">
      <c r="A12">
        <v>820.22</v>
      </c>
      <c r="B12">
        <v>7</v>
      </c>
      <c r="C12">
        <v>0</v>
      </c>
      <c r="D12" s="1">
        <v>8690</v>
      </c>
      <c r="F12">
        <f t="shared" si="0"/>
        <v>7</v>
      </c>
    </row>
    <row r="13" spans="1:6" x14ac:dyDescent="0.25">
      <c r="A13">
        <v>875.87</v>
      </c>
      <c r="B13">
        <v>24</v>
      </c>
      <c r="C13">
        <v>0</v>
      </c>
      <c r="D13" s="1">
        <v>5624</v>
      </c>
      <c r="F13">
        <f t="shared" si="0"/>
        <v>24</v>
      </c>
    </row>
    <row r="14" spans="1:6" x14ac:dyDescent="0.25">
      <c r="A14">
        <v>1061.23</v>
      </c>
      <c r="B14">
        <v>19</v>
      </c>
      <c r="C14">
        <v>0</v>
      </c>
      <c r="D14" s="1">
        <v>5996</v>
      </c>
      <c r="F14">
        <f t="shared" si="0"/>
        <v>19</v>
      </c>
    </row>
    <row r="15" spans="1:6" x14ac:dyDescent="0.25">
      <c r="A15">
        <v>1001.17</v>
      </c>
      <c r="B15">
        <v>8</v>
      </c>
      <c r="C15">
        <v>0</v>
      </c>
      <c r="D15" s="1">
        <v>3631</v>
      </c>
      <c r="F15">
        <f t="shared" si="0"/>
        <v>8</v>
      </c>
    </row>
    <row r="16" spans="1:6" x14ac:dyDescent="0.25">
      <c r="A16">
        <v>869.74</v>
      </c>
      <c r="B16">
        <v>22</v>
      </c>
      <c r="C16">
        <v>0</v>
      </c>
      <c r="D16" s="1">
        <v>4451</v>
      </c>
      <c r="F16">
        <f t="shared" si="0"/>
        <v>22</v>
      </c>
    </row>
    <row r="17" spans="1:6" x14ac:dyDescent="0.25">
      <c r="A17">
        <v>701.14</v>
      </c>
      <c r="B17">
        <v>31</v>
      </c>
      <c r="C17">
        <v>0</v>
      </c>
      <c r="D17" s="1">
        <v>3616</v>
      </c>
      <c r="F17">
        <f t="shared" si="0"/>
        <v>31</v>
      </c>
    </row>
    <row r="18" spans="1:6" x14ac:dyDescent="0.25">
      <c r="A18">
        <v>974.34</v>
      </c>
      <c r="B18">
        <v>9</v>
      </c>
      <c r="C18">
        <v>0</v>
      </c>
      <c r="D18" s="1">
        <v>8732</v>
      </c>
      <c r="F18">
        <f t="shared" si="0"/>
        <v>9</v>
      </c>
    </row>
    <row r="19" spans="1:6" x14ac:dyDescent="0.25">
      <c r="A19">
        <v>981.61</v>
      </c>
      <c r="B19">
        <v>2</v>
      </c>
      <c r="C19">
        <v>0</v>
      </c>
      <c r="D19" s="1">
        <v>6433</v>
      </c>
      <c r="F19">
        <f t="shared" si="0"/>
        <v>2</v>
      </c>
    </row>
    <row r="20" spans="1:6" x14ac:dyDescent="0.25">
      <c r="A20">
        <v>968.44</v>
      </c>
      <c r="B20">
        <v>20</v>
      </c>
      <c r="C20">
        <v>0</v>
      </c>
      <c r="D20" s="1">
        <v>6400</v>
      </c>
      <c r="F20">
        <f t="shared" si="0"/>
        <v>20</v>
      </c>
    </row>
    <row r="21" spans="1:6" x14ac:dyDescent="0.25">
      <c r="A21">
        <v>1073.29</v>
      </c>
      <c r="B21">
        <v>46</v>
      </c>
      <c r="C21">
        <v>2</v>
      </c>
      <c r="D21" s="1">
        <v>4238</v>
      </c>
      <c r="F21">
        <f t="shared" si="0"/>
        <v>86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21"/>
  <sheetViews>
    <sheetView workbookViewId="0">
      <selection activeCell="H3" sqref="H3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1640.42</v>
      </c>
      <c r="B2">
        <v>37</v>
      </c>
      <c r="C2">
        <v>0</v>
      </c>
      <c r="D2" s="1">
        <v>5055</v>
      </c>
      <c r="F2">
        <f t="shared" ref="F2:F21" si="0">B2+C2*20</f>
        <v>37</v>
      </c>
      <c r="H2">
        <f>_xlfn.T.TEST('frame-stacking'!F2:F21,control!F2:F21,1,3)</f>
        <v>0.27597546457743688</v>
      </c>
    </row>
    <row r="3" spans="1:8" x14ac:dyDescent="0.25">
      <c r="A3">
        <v>1309.57</v>
      </c>
      <c r="B3">
        <v>33</v>
      </c>
      <c r="C3">
        <v>1</v>
      </c>
      <c r="D3" s="1">
        <v>3737</v>
      </c>
      <c r="F3">
        <f t="shared" si="0"/>
        <v>53</v>
      </c>
    </row>
    <row r="4" spans="1:8" x14ac:dyDescent="0.25">
      <c r="A4">
        <v>1305.45</v>
      </c>
      <c r="B4">
        <v>18</v>
      </c>
      <c r="C4">
        <v>0</v>
      </c>
      <c r="D4" s="1">
        <v>8220</v>
      </c>
      <c r="F4">
        <f t="shared" si="0"/>
        <v>18</v>
      </c>
    </row>
    <row r="5" spans="1:8" x14ac:dyDescent="0.25">
      <c r="A5">
        <v>1386.44</v>
      </c>
      <c r="B5">
        <v>2</v>
      </c>
      <c r="C5">
        <v>0</v>
      </c>
      <c r="D5" s="1">
        <v>3777</v>
      </c>
      <c r="F5">
        <f t="shared" si="0"/>
        <v>2</v>
      </c>
    </row>
    <row r="6" spans="1:8" x14ac:dyDescent="0.25">
      <c r="A6">
        <v>1574.08</v>
      </c>
      <c r="B6">
        <v>20</v>
      </c>
      <c r="C6">
        <v>0</v>
      </c>
      <c r="D6" s="1">
        <v>3482</v>
      </c>
      <c r="F6">
        <f t="shared" si="0"/>
        <v>20</v>
      </c>
    </row>
    <row r="7" spans="1:8" x14ac:dyDescent="0.25">
      <c r="A7">
        <v>1235.58</v>
      </c>
      <c r="B7">
        <v>46</v>
      </c>
      <c r="C7">
        <v>0</v>
      </c>
      <c r="D7" s="1">
        <v>3450</v>
      </c>
      <c r="F7">
        <f t="shared" si="0"/>
        <v>46</v>
      </c>
    </row>
    <row r="8" spans="1:8" x14ac:dyDescent="0.25">
      <c r="A8">
        <v>1774.37</v>
      </c>
      <c r="B8">
        <v>8</v>
      </c>
      <c r="C8">
        <v>0</v>
      </c>
      <c r="D8" s="1">
        <v>5240</v>
      </c>
      <c r="F8">
        <f t="shared" si="0"/>
        <v>8</v>
      </c>
    </row>
    <row r="9" spans="1:8" x14ac:dyDescent="0.25">
      <c r="A9">
        <v>1463.46</v>
      </c>
      <c r="B9">
        <v>40</v>
      </c>
      <c r="C9">
        <v>1</v>
      </c>
      <c r="D9" s="1">
        <v>3740</v>
      </c>
      <c r="F9">
        <f t="shared" si="0"/>
        <v>60</v>
      </c>
    </row>
    <row r="10" spans="1:8" x14ac:dyDescent="0.25">
      <c r="A10">
        <v>1459.66</v>
      </c>
      <c r="B10">
        <v>50</v>
      </c>
      <c r="C10">
        <v>0</v>
      </c>
      <c r="D10" s="1">
        <v>3643</v>
      </c>
      <c r="F10">
        <f t="shared" si="0"/>
        <v>50</v>
      </c>
    </row>
    <row r="11" spans="1:8" x14ac:dyDescent="0.25">
      <c r="A11">
        <v>1494.72</v>
      </c>
      <c r="B11">
        <v>18</v>
      </c>
      <c r="C11">
        <v>0</v>
      </c>
      <c r="D11" s="1">
        <v>2772</v>
      </c>
      <c r="F11">
        <f t="shared" si="0"/>
        <v>18</v>
      </c>
    </row>
    <row r="12" spans="1:8" x14ac:dyDescent="0.25">
      <c r="A12">
        <v>1706.45</v>
      </c>
      <c r="B12">
        <v>35</v>
      </c>
      <c r="C12">
        <v>2</v>
      </c>
      <c r="D12" s="1">
        <v>3088</v>
      </c>
      <c r="F12">
        <f t="shared" si="0"/>
        <v>75</v>
      </c>
    </row>
    <row r="13" spans="1:8" x14ac:dyDescent="0.25">
      <c r="A13">
        <v>1563.88</v>
      </c>
      <c r="B13">
        <v>45</v>
      </c>
      <c r="C13">
        <v>1</v>
      </c>
      <c r="D13" s="1">
        <v>4147</v>
      </c>
      <c r="F13">
        <f t="shared" si="0"/>
        <v>65</v>
      </c>
    </row>
    <row r="14" spans="1:8" x14ac:dyDescent="0.25">
      <c r="A14">
        <v>1462.12</v>
      </c>
      <c r="B14">
        <v>6</v>
      </c>
      <c r="C14">
        <v>0</v>
      </c>
      <c r="D14" s="1">
        <v>6107</v>
      </c>
      <c r="F14">
        <f t="shared" si="0"/>
        <v>6</v>
      </c>
    </row>
    <row r="15" spans="1:8" x14ac:dyDescent="0.25">
      <c r="A15">
        <v>1990.92</v>
      </c>
      <c r="B15">
        <v>16</v>
      </c>
      <c r="C15">
        <v>0</v>
      </c>
      <c r="D15" s="1">
        <v>6106</v>
      </c>
      <c r="F15">
        <f t="shared" si="0"/>
        <v>16</v>
      </c>
    </row>
    <row r="16" spans="1:8" x14ac:dyDescent="0.25">
      <c r="A16">
        <v>2085.58</v>
      </c>
      <c r="B16">
        <v>23</v>
      </c>
      <c r="C16">
        <v>0</v>
      </c>
      <c r="D16" s="1">
        <v>6044</v>
      </c>
      <c r="F16">
        <f t="shared" si="0"/>
        <v>23</v>
      </c>
    </row>
    <row r="17" spans="1:6" x14ac:dyDescent="0.25">
      <c r="A17">
        <v>1928.91</v>
      </c>
      <c r="B17">
        <v>19</v>
      </c>
      <c r="C17">
        <v>1</v>
      </c>
      <c r="D17" s="1">
        <v>3111</v>
      </c>
      <c r="F17">
        <f t="shared" si="0"/>
        <v>39</v>
      </c>
    </row>
    <row r="18" spans="1:6" x14ac:dyDescent="0.25">
      <c r="A18">
        <v>1543.94</v>
      </c>
      <c r="B18">
        <v>19</v>
      </c>
      <c r="C18">
        <v>0</v>
      </c>
      <c r="D18" s="1">
        <v>6380</v>
      </c>
      <c r="F18">
        <f t="shared" si="0"/>
        <v>19</v>
      </c>
    </row>
    <row r="19" spans="1:6" x14ac:dyDescent="0.25">
      <c r="A19">
        <v>1332.78</v>
      </c>
      <c r="B19">
        <v>19</v>
      </c>
      <c r="C19">
        <v>0</v>
      </c>
      <c r="D19" s="1">
        <v>5584</v>
      </c>
      <c r="F19">
        <f t="shared" si="0"/>
        <v>19</v>
      </c>
    </row>
    <row r="20" spans="1:6" x14ac:dyDescent="0.25">
      <c r="A20">
        <v>1638.74</v>
      </c>
      <c r="B20">
        <v>34</v>
      </c>
      <c r="C20">
        <v>1</v>
      </c>
      <c r="D20" s="1">
        <v>3131</v>
      </c>
      <c r="F20">
        <f t="shared" si="0"/>
        <v>54</v>
      </c>
    </row>
    <row r="21" spans="1:6" x14ac:dyDescent="0.25">
      <c r="A21">
        <v>1304.8599999999999</v>
      </c>
      <c r="B21">
        <v>12</v>
      </c>
      <c r="C21">
        <v>0</v>
      </c>
      <c r="D21" s="1">
        <v>4473</v>
      </c>
      <c r="F21">
        <f t="shared" si="0"/>
        <v>12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H2" sqref="H2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197.13</v>
      </c>
      <c r="B2">
        <v>3</v>
      </c>
      <c r="C2">
        <v>0</v>
      </c>
      <c r="D2" s="1">
        <v>6314</v>
      </c>
      <c r="F2">
        <f t="shared" ref="F2:F21" si="0">B2+C2*20</f>
        <v>3</v>
      </c>
      <c r="H2">
        <f>_xlfn.T.TEST(F2:F21,control!F2:F21,1,3)</f>
        <v>2.430571244078743E-4</v>
      </c>
    </row>
    <row r="3" spans="1:8" x14ac:dyDescent="0.25">
      <c r="A3">
        <v>191.64</v>
      </c>
      <c r="B3">
        <v>6</v>
      </c>
      <c r="C3">
        <v>0</v>
      </c>
      <c r="D3" s="1">
        <v>3924</v>
      </c>
      <c r="F3">
        <f t="shared" si="0"/>
        <v>6</v>
      </c>
    </row>
    <row r="4" spans="1:8" x14ac:dyDescent="0.25">
      <c r="A4">
        <v>232.61</v>
      </c>
      <c r="B4">
        <v>6</v>
      </c>
      <c r="C4">
        <v>0</v>
      </c>
      <c r="D4" s="1">
        <v>5073</v>
      </c>
      <c r="F4">
        <f t="shared" si="0"/>
        <v>6</v>
      </c>
    </row>
    <row r="5" spans="1:8" x14ac:dyDescent="0.25">
      <c r="A5">
        <v>204.05</v>
      </c>
      <c r="B5">
        <v>2</v>
      </c>
      <c r="C5">
        <v>0</v>
      </c>
      <c r="D5" s="1">
        <v>5492</v>
      </c>
      <c r="F5">
        <f t="shared" si="0"/>
        <v>2</v>
      </c>
    </row>
    <row r="6" spans="1:8" x14ac:dyDescent="0.25">
      <c r="A6">
        <v>202.85</v>
      </c>
      <c r="B6">
        <v>1</v>
      </c>
      <c r="C6">
        <v>0</v>
      </c>
      <c r="D6" s="1">
        <v>6088</v>
      </c>
      <c r="F6">
        <f t="shared" si="0"/>
        <v>1</v>
      </c>
    </row>
    <row r="7" spans="1:8" x14ac:dyDescent="0.25">
      <c r="A7">
        <v>201.42</v>
      </c>
      <c r="B7">
        <v>4</v>
      </c>
      <c r="C7">
        <v>0</v>
      </c>
      <c r="D7" s="1">
        <v>3662</v>
      </c>
      <c r="F7">
        <f t="shared" si="0"/>
        <v>4</v>
      </c>
    </row>
    <row r="8" spans="1:8" x14ac:dyDescent="0.25">
      <c r="A8">
        <v>212.35</v>
      </c>
      <c r="B8">
        <v>4</v>
      </c>
      <c r="C8">
        <v>0</v>
      </c>
      <c r="D8" s="1">
        <v>6647</v>
      </c>
      <c r="F8">
        <f t="shared" si="0"/>
        <v>4</v>
      </c>
    </row>
    <row r="9" spans="1:8" x14ac:dyDescent="0.25">
      <c r="A9">
        <v>224.11</v>
      </c>
      <c r="B9">
        <v>7</v>
      </c>
      <c r="C9">
        <v>0</v>
      </c>
      <c r="D9" s="1">
        <v>8703</v>
      </c>
      <c r="F9">
        <f t="shared" si="0"/>
        <v>7</v>
      </c>
    </row>
    <row r="10" spans="1:8" x14ac:dyDescent="0.25">
      <c r="A10">
        <v>205.91</v>
      </c>
      <c r="B10">
        <v>2</v>
      </c>
      <c r="C10">
        <v>0</v>
      </c>
      <c r="D10" s="1">
        <v>6433</v>
      </c>
      <c r="F10">
        <f t="shared" si="0"/>
        <v>2</v>
      </c>
    </row>
    <row r="11" spans="1:8" x14ac:dyDescent="0.25">
      <c r="A11">
        <v>211.37</v>
      </c>
      <c r="B11">
        <v>3</v>
      </c>
      <c r="C11">
        <v>0</v>
      </c>
      <c r="D11" s="1">
        <v>4572</v>
      </c>
      <c r="F11">
        <f t="shared" si="0"/>
        <v>3</v>
      </c>
    </row>
    <row r="12" spans="1:8" x14ac:dyDescent="0.25">
      <c r="A12">
        <v>196.05</v>
      </c>
      <c r="B12">
        <v>6</v>
      </c>
      <c r="C12">
        <v>0</v>
      </c>
      <c r="D12" s="1">
        <v>5630</v>
      </c>
      <c r="F12">
        <f t="shared" si="0"/>
        <v>6</v>
      </c>
    </row>
    <row r="13" spans="1:8" x14ac:dyDescent="0.25">
      <c r="A13">
        <v>226.82</v>
      </c>
      <c r="B13">
        <v>4</v>
      </c>
      <c r="C13">
        <v>0</v>
      </c>
      <c r="D13" s="1">
        <v>6688</v>
      </c>
      <c r="F13">
        <f t="shared" si="0"/>
        <v>4</v>
      </c>
    </row>
    <row r="14" spans="1:8" x14ac:dyDescent="0.25">
      <c r="A14">
        <v>215.43</v>
      </c>
      <c r="B14">
        <v>4</v>
      </c>
      <c r="C14">
        <v>0</v>
      </c>
      <c r="D14" s="1">
        <v>5982</v>
      </c>
      <c r="F14">
        <f t="shared" si="0"/>
        <v>4</v>
      </c>
    </row>
    <row r="15" spans="1:8" x14ac:dyDescent="0.25">
      <c r="A15">
        <v>213.55</v>
      </c>
      <c r="B15">
        <v>2</v>
      </c>
      <c r="C15">
        <v>0</v>
      </c>
      <c r="D15" s="1">
        <v>3316</v>
      </c>
      <c r="F15">
        <f t="shared" si="0"/>
        <v>2</v>
      </c>
    </row>
    <row r="16" spans="1:8" x14ac:dyDescent="0.25">
      <c r="A16">
        <v>220.2</v>
      </c>
      <c r="B16">
        <v>5</v>
      </c>
      <c r="C16">
        <v>0</v>
      </c>
      <c r="D16" s="1">
        <v>5964</v>
      </c>
      <c r="F16">
        <f t="shared" si="0"/>
        <v>5</v>
      </c>
    </row>
    <row r="17" spans="1:6" x14ac:dyDescent="0.25">
      <c r="A17">
        <v>241.78</v>
      </c>
      <c r="B17">
        <v>2</v>
      </c>
      <c r="C17">
        <v>0</v>
      </c>
      <c r="D17" s="1">
        <v>6205</v>
      </c>
      <c r="F17">
        <f t="shared" si="0"/>
        <v>2</v>
      </c>
    </row>
    <row r="18" spans="1:6" x14ac:dyDescent="0.25">
      <c r="A18">
        <v>218.21</v>
      </c>
      <c r="B18">
        <v>3</v>
      </c>
      <c r="C18">
        <v>0</v>
      </c>
      <c r="D18" s="1">
        <v>5964</v>
      </c>
      <c r="F18">
        <f t="shared" si="0"/>
        <v>3</v>
      </c>
    </row>
    <row r="19" spans="1:6" x14ac:dyDescent="0.25">
      <c r="A19">
        <v>211.58</v>
      </c>
      <c r="B19">
        <v>2</v>
      </c>
      <c r="C19">
        <v>0</v>
      </c>
      <c r="D19" s="1">
        <v>6067</v>
      </c>
      <c r="F19">
        <f t="shared" si="0"/>
        <v>2</v>
      </c>
    </row>
    <row r="20" spans="1:6" x14ac:dyDescent="0.25">
      <c r="A20">
        <v>214.48</v>
      </c>
      <c r="B20">
        <v>3</v>
      </c>
      <c r="C20">
        <v>0</v>
      </c>
      <c r="D20" s="1">
        <v>5298</v>
      </c>
      <c r="F20">
        <f t="shared" si="0"/>
        <v>3</v>
      </c>
    </row>
    <row r="21" spans="1:6" x14ac:dyDescent="0.25">
      <c r="A21">
        <v>200.35</v>
      </c>
      <c r="B21">
        <v>2</v>
      </c>
      <c r="C21">
        <v>0</v>
      </c>
      <c r="D21" s="1">
        <v>5508</v>
      </c>
      <c r="F21">
        <f t="shared" si="0"/>
        <v>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21"/>
  <sheetViews>
    <sheetView workbookViewId="0">
      <selection activeCell="H3" sqref="H3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366.43</v>
      </c>
      <c r="B2">
        <v>49</v>
      </c>
      <c r="C2">
        <v>0</v>
      </c>
      <c r="D2" s="1">
        <v>2992</v>
      </c>
      <c r="F2">
        <f t="shared" ref="F2:F21" si="0">B2+C2*20</f>
        <v>49</v>
      </c>
      <c r="H2">
        <f>_xlfn.T.TEST(F2:F21,control!F2:F21,1,3)</f>
        <v>0.4462573665752067</v>
      </c>
    </row>
    <row r="3" spans="1:8" x14ac:dyDescent="0.25">
      <c r="A3">
        <v>318.01</v>
      </c>
      <c r="B3">
        <v>37</v>
      </c>
      <c r="C3">
        <v>1</v>
      </c>
      <c r="D3" s="1">
        <v>3221</v>
      </c>
      <c r="F3">
        <f t="shared" si="0"/>
        <v>57</v>
      </c>
    </row>
    <row r="4" spans="1:8" x14ac:dyDescent="0.25">
      <c r="A4">
        <v>344.74</v>
      </c>
      <c r="B4">
        <v>38</v>
      </c>
      <c r="C4">
        <v>0</v>
      </c>
      <c r="D4" s="1">
        <v>5533</v>
      </c>
      <c r="F4">
        <f t="shared" si="0"/>
        <v>38</v>
      </c>
    </row>
    <row r="5" spans="1:8" x14ac:dyDescent="0.25">
      <c r="A5">
        <v>314.8</v>
      </c>
      <c r="B5">
        <v>2</v>
      </c>
      <c r="C5">
        <v>0</v>
      </c>
      <c r="D5" s="1">
        <v>6089</v>
      </c>
      <c r="F5">
        <f t="shared" si="0"/>
        <v>2</v>
      </c>
    </row>
    <row r="6" spans="1:8" x14ac:dyDescent="0.25">
      <c r="A6">
        <v>343.06</v>
      </c>
      <c r="B6">
        <v>2</v>
      </c>
      <c r="C6">
        <v>0</v>
      </c>
      <c r="D6" s="1">
        <v>6205</v>
      </c>
      <c r="F6">
        <f t="shared" si="0"/>
        <v>2</v>
      </c>
    </row>
    <row r="7" spans="1:8" x14ac:dyDescent="0.25">
      <c r="A7">
        <v>313.23</v>
      </c>
      <c r="B7">
        <v>32</v>
      </c>
      <c r="C7">
        <v>1</v>
      </c>
      <c r="D7" s="1">
        <v>4881</v>
      </c>
      <c r="F7">
        <f t="shared" si="0"/>
        <v>52</v>
      </c>
    </row>
    <row r="8" spans="1:8" x14ac:dyDescent="0.25">
      <c r="A8">
        <v>335.99</v>
      </c>
      <c r="B8">
        <v>2</v>
      </c>
      <c r="C8">
        <v>0</v>
      </c>
      <c r="D8" s="1">
        <v>6433</v>
      </c>
      <c r="F8">
        <f t="shared" si="0"/>
        <v>2</v>
      </c>
    </row>
    <row r="9" spans="1:8" x14ac:dyDescent="0.25">
      <c r="A9">
        <v>292.89999999999998</v>
      </c>
      <c r="B9">
        <v>8</v>
      </c>
      <c r="C9">
        <v>0</v>
      </c>
      <c r="D9" s="1">
        <v>4257</v>
      </c>
      <c r="F9">
        <f t="shared" si="0"/>
        <v>8</v>
      </c>
    </row>
    <row r="10" spans="1:8" x14ac:dyDescent="0.25">
      <c r="A10">
        <v>327.76</v>
      </c>
      <c r="B10">
        <v>40</v>
      </c>
      <c r="C10">
        <v>0</v>
      </c>
      <c r="D10" s="1">
        <v>2852</v>
      </c>
      <c r="F10">
        <f t="shared" si="0"/>
        <v>40</v>
      </c>
    </row>
    <row r="11" spans="1:8" x14ac:dyDescent="0.25">
      <c r="A11">
        <v>341.92</v>
      </c>
      <c r="B11">
        <v>33</v>
      </c>
      <c r="C11">
        <v>0</v>
      </c>
      <c r="D11" s="1">
        <v>4174</v>
      </c>
      <c r="F11">
        <f t="shared" si="0"/>
        <v>33</v>
      </c>
    </row>
    <row r="12" spans="1:8" x14ac:dyDescent="0.25">
      <c r="A12">
        <v>295.04000000000002</v>
      </c>
      <c r="B12">
        <v>1</v>
      </c>
      <c r="C12">
        <v>0</v>
      </c>
      <c r="D12" s="1">
        <v>4378</v>
      </c>
      <c r="F12">
        <f t="shared" si="0"/>
        <v>1</v>
      </c>
    </row>
    <row r="13" spans="1:8" x14ac:dyDescent="0.25">
      <c r="A13">
        <v>339.17</v>
      </c>
      <c r="B13">
        <v>19</v>
      </c>
      <c r="C13">
        <v>0</v>
      </c>
      <c r="D13" s="1">
        <v>6142</v>
      </c>
      <c r="F13">
        <f t="shared" si="0"/>
        <v>19</v>
      </c>
    </row>
    <row r="14" spans="1:8" x14ac:dyDescent="0.25">
      <c r="A14">
        <v>342.4</v>
      </c>
      <c r="B14">
        <v>33</v>
      </c>
      <c r="C14">
        <v>0</v>
      </c>
      <c r="D14" s="1">
        <v>5410</v>
      </c>
      <c r="F14">
        <f t="shared" si="0"/>
        <v>33</v>
      </c>
    </row>
    <row r="15" spans="1:8" x14ac:dyDescent="0.25">
      <c r="A15">
        <v>370.38</v>
      </c>
      <c r="B15">
        <v>31</v>
      </c>
      <c r="C15">
        <v>1</v>
      </c>
      <c r="D15" s="1">
        <v>4363</v>
      </c>
      <c r="F15">
        <f t="shared" si="0"/>
        <v>51</v>
      </c>
    </row>
    <row r="16" spans="1:8" x14ac:dyDescent="0.25">
      <c r="A16">
        <v>360.72</v>
      </c>
      <c r="B16">
        <v>56</v>
      </c>
      <c r="C16">
        <v>0</v>
      </c>
      <c r="D16" s="1">
        <v>2834</v>
      </c>
      <c r="F16">
        <f t="shared" si="0"/>
        <v>56</v>
      </c>
    </row>
    <row r="17" spans="1:6" x14ac:dyDescent="0.25">
      <c r="A17">
        <v>367.26</v>
      </c>
      <c r="B17">
        <v>56</v>
      </c>
      <c r="C17">
        <v>1</v>
      </c>
      <c r="D17" s="1">
        <v>2486</v>
      </c>
      <c r="F17">
        <f t="shared" si="0"/>
        <v>76</v>
      </c>
    </row>
    <row r="18" spans="1:6" x14ac:dyDescent="0.25">
      <c r="A18">
        <v>306.23</v>
      </c>
      <c r="B18">
        <v>0</v>
      </c>
      <c r="C18">
        <v>0</v>
      </c>
      <c r="D18" s="1">
        <v>6192</v>
      </c>
      <c r="F18">
        <f t="shared" si="0"/>
        <v>0</v>
      </c>
    </row>
    <row r="19" spans="1:6" x14ac:dyDescent="0.25">
      <c r="A19">
        <v>341.12</v>
      </c>
      <c r="B19">
        <v>8</v>
      </c>
      <c r="C19">
        <v>0</v>
      </c>
      <c r="D19" s="1">
        <v>5522</v>
      </c>
      <c r="F19">
        <f t="shared" si="0"/>
        <v>8</v>
      </c>
    </row>
    <row r="20" spans="1:6" x14ac:dyDescent="0.25">
      <c r="A20">
        <v>374.44</v>
      </c>
      <c r="B20">
        <v>18</v>
      </c>
      <c r="C20">
        <v>0</v>
      </c>
      <c r="D20" s="1">
        <v>5250</v>
      </c>
      <c r="F20">
        <f t="shared" si="0"/>
        <v>18</v>
      </c>
    </row>
    <row r="21" spans="1:6" x14ac:dyDescent="0.25">
      <c r="A21">
        <v>325.83999999999997</v>
      </c>
      <c r="B21">
        <v>26</v>
      </c>
      <c r="C21">
        <v>0</v>
      </c>
      <c r="D21" s="1">
        <v>4213</v>
      </c>
      <c r="F21">
        <f t="shared" si="0"/>
        <v>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21"/>
  <sheetViews>
    <sheetView workbookViewId="0">
      <selection activeCell="H3" sqref="H3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932.44</v>
      </c>
      <c r="B2">
        <v>54</v>
      </c>
      <c r="C2">
        <v>0</v>
      </c>
      <c r="D2" s="1">
        <v>2834</v>
      </c>
      <c r="F2">
        <f t="shared" ref="F2:F21" si="0">B2+C2*20</f>
        <v>54</v>
      </c>
      <c r="H2">
        <f>_xlfn.T.TEST(F2:F21,control!F2:F21,1,3)</f>
        <v>0.47770313457541308</v>
      </c>
    </row>
    <row r="3" spans="1:8" x14ac:dyDescent="0.25">
      <c r="A3">
        <v>783.55</v>
      </c>
      <c r="B3">
        <v>49</v>
      </c>
      <c r="C3">
        <v>0</v>
      </c>
      <c r="D3" s="1">
        <v>2635</v>
      </c>
      <c r="F3">
        <f t="shared" si="0"/>
        <v>49</v>
      </c>
    </row>
    <row r="4" spans="1:8" x14ac:dyDescent="0.25">
      <c r="A4">
        <v>850.34</v>
      </c>
      <c r="B4">
        <v>49</v>
      </c>
      <c r="C4">
        <v>0</v>
      </c>
      <c r="D4" s="1">
        <v>2967</v>
      </c>
      <c r="F4">
        <f t="shared" si="0"/>
        <v>49</v>
      </c>
    </row>
    <row r="5" spans="1:8" x14ac:dyDescent="0.25">
      <c r="A5">
        <v>908.86</v>
      </c>
      <c r="B5">
        <v>29</v>
      </c>
      <c r="C5">
        <v>0</v>
      </c>
      <c r="D5" s="1">
        <v>6387</v>
      </c>
      <c r="F5">
        <f t="shared" si="0"/>
        <v>29</v>
      </c>
    </row>
    <row r="6" spans="1:8" x14ac:dyDescent="0.25">
      <c r="A6">
        <v>839.84</v>
      </c>
      <c r="B6">
        <v>32</v>
      </c>
      <c r="C6">
        <v>0</v>
      </c>
      <c r="D6" s="1">
        <v>4152</v>
      </c>
      <c r="F6">
        <f t="shared" si="0"/>
        <v>32</v>
      </c>
    </row>
    <row r="7" spans="1:8" x14ac:dyDescent="0.25">
      <c r="A7">
        <v>692.64</v>
      </c>
      <c r="B7">
        <v>14</v>
      </c>
      <c r="C7">
        <v>0</v>
      </c>
      <c r="D7" s="1">
        <v>3324</v>
      </c>
      <c r="F7">
        <f t="shared" si="0"/>
        <v>14</v>
      </c>
    </row>
    <row r="8" spans="1:8" x14ac:dyDescent="0.25">
      <c r="A8">
        <v>871.65</v>
      </c>
      <c r="B8">
        <v>47</v>
      </c>
      <c r="C8">
        <v>1</v>
      </c>
      <c r="D8" s="1">
        <v>3434</v>
      </c>
      <c r="F8">
        <f t="shared" si="0"/>
        <v>67</v>
      </c>
    </row>
    <row r="9" spans="1:8" x14ac:dyDescent="0.25">
      <c r="A9">
        <v>825.28</v>
      </c>
      <c r="B9">
        <v>18</v>
      </c>
      <c r="C9">
        <v>0</v>
      </c>
      <c r="D9" s="1">
        <v>5638</v>
      </c>
      <c r="F9">
        <f t="shared" si="0"/>
        <v>18</v>
      </c>
    </row>
    <row r="10" spans="1:8" x14ac:dyDescent="0.25">
      <c r="A10">
        <v>932.45</v>
      </c>
      <c r="B10">
        <v>47</v>
      </c>
      <c r="C10">
        <v>0</v>
      </c>
      <c r="D10" s="1">
        <v>3679</v>
      </c>
      <c r="F10">
        <f t="shared" si="0"/>
        <v>47</v>
      </c>
    </row>
    <row r="11" spans="1:8" x14ac:dyDescent="0.25">
      <c r="A11">
        <v>722.16</v>
      </c>
      <c r="B11">
        <v>2</v>
      </c>
      <c r="C11">
        <v>0</v>
      </c>
      <c r="D11" s="1">
        <v>6433</v>
      </c>
      <c r="F11">
        <f t="shared" si="0"/>
        <v>2</v>
      </c>
    </row>
    <row r="12" spans="1:8" x14ac:dyDescent="0.25">
      <c r="A12">
        <v>793.34</v>
      </c>
      <c r="B12">
        <v>2</v>
      </c>
      <c r="C12">
        <v>0</v>
      </c>
      <c r="D12" s="1">
        <v>6433</v>
      </c>
      <c r="F12">
        <f t="shared" si="0"/>
        <v>2</v>
      </c>
    </row>
    <row r="13" spans="1:8" x14ac:dyDescent="0.25">
      <c r="A13">
        <v>616.72</v>
      </c>
      <c r="B13">
        <v>2</v>
      </c>
      <c r="C13">
        <v>0</v>
      </c>
      <c r="D13" s="1">
        <v>6433</v>
      </c>
      <c r="F13">
        <f t="shared" si="0"/>
        <v>2</v>
      </c>
    </row>
    <row r="14" spans="1:8" x14ac:dyDescent="0.25">
      <c r="A14">
        <v>810.31</v>
      </c>
      <c r="B14">
        <v>69</v>
      </c>
      <c r="C14">
        <v>1</v>
      </c>
      <c r="D14" s="1">
        <v>2970</v>
      </c>
      <c r="F14">
        <f t="shared" si="0"/>
        <v>89</v>
      </c>
    </row>
    <row r="15" spans="1:8" x14ac:dyDescent="0.25">
      <c r="A15">
        <v>628.42999999999995</v>
      </c>
      <c r="B15">
        <v>3</v>
      </c>
      <c r="C15">
        <v>0</v>
      </c>
      <c r="D15" s="1">
        <v>6765</v>
      </c>
      <c r="F15">
        <f t="shared" si="0"/>
        <v>3</v>
      </c>
    </row>
    <row r="16" spans="1:8" x14ac:dyDescent="0.25">
      <c r="A16">
        <v>787.58</v>
      </c>
      <c r="B16">
        <v>2</v>
      </c>
      <c r="C16">
        <v>0</v>
      </c>
      <c r="D16" s="1">
        <v>6205</v>
      </c>
      <c r="F16">
        <f t="shared" si="0"/>
        <v>2</v>
      </c>
    </row>
    <row r="17" spans="1:6" x14ac:dyDescent="0.25">
      <c r="A17">
        <v>801.01</v>
      </c>
      <c r="B17">
        <v>26</v>
      </c>
      <c r="C17">
        <v>0</v>
      </c>
      <c r="D17" s="1">
        <v>5984</v>
      </c>
      <c r="F17">
        <f t="shared" si="0"/>
        <v>26</v>
      </c>
    </row>
    <row r="18" spans="1:6" x14ac:dyDescent="0.25">
      <c r="A18">
        <v>954.46</v>
      </c>
      <c r="B18">
        <v>27</v>
      </c>
      <c r="C18">
        <v>0</v>
      </c>
      <c r="D18" s="1">
        <v>2557</v>
      </c>
      <c r="F18">
        <f t="shared" si="0"/>
        <v>27</v>
      </c>
    </row>
    <row r="19" spans="1:6" x14ac:dyDescent="0.25">
      <c r="A19">
        <v>908.95</v>
      </c>
      <c r="B19">
        <v>7</v>
      </c>
      <c r="C19">
        <v>0</v>
      </c>
      <c r="D19" s="1">
        <v>2259</v>
      </c>
      <c r="F19">
        <f t="shared" si="0"/>
        <v>7</v>
      </c>
    </row>
    <row r="20" spans="1:6" x14ac:dyDescent="0.25">
      <c r="A20">
        <v>746.81</v>
      </c>
      <c r="B20">
        <v>19</v>
      </c>
      <c r="C20">
        <v>0</v>
      </c>
      <c r="D20" s="1">
        <v>3771</v>
      </c>
      <c r="F20">
        <f t="shared" si="0"/>
        <v>19</v>
      </c>
    </row>
    <row r="21" spans="1:6" x14ac:dyDescent="0.25">
      <c r="A21">
        <v>934.82</v>
      </c>
      <c r="B21">
        <v>3</v>
      </c>
      <c r="C21">
        <v>0</v>
      </c>
      <c r="D21" s="1">
        <v>2287</v>
      </c>
      <c r="F21">
        <f t="shared" si="0"/>
        <v>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H21"/>
  <sheetViews>
    <sheetView workbookViewId="0">
      <selection activeCell="F15" sqref="F15"/>
    </sheetView>
  </sheetViews>
  <sheetFormatPr defaultRowHeight="14.4" x14ac:dyDescent="0.3"/>
  <cols>
    <col min="8" max="8" width="12" bestFit="1" customWidth="1"/>
  </cols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40</v>
      </c>
    </row>
    <row r="2" spans="1:8" x14ac:dyDescent="0.25">
      <c r="A2">
        <v>910.29</v>
      </c>
      <c r="B2">
        <v>1</v>
      </c>
      <c r="C2">
        <v>0</v>
      </c>
      <c r="D2" s="1">
        <v>5829</v>
      </c>
      <c r="F2">
        <f t="shared" ref="F2:F21" si="0">B2+C2*20</f>
        <v>1</v>
      </c>
      <c r="H2" s="3">
        <f>_xlfn.T.TEST(F2:F21,control!F2:F21,1,3)</f>
        <v>9.4913933612134559E-5</v>
      </c>
    </row>
    <row r="3" spans="1:8" x14ac:dyDescent="0.25">
      <c r="A3">
        <v>1234.8399999999999</v>
      </c>
      <c r="B3">
        <v>0</v>
      </c>
      <c r="C3">
        <v>0</v>
      </c>
      <c r="D3" s="1">
        <v>4237</v>
      </c>
      <c r="F3">
        <f t="shared" si="0"/>
        <v>0</v>
      </c>
    </row>
    <row r="4" spans="1:8" x14ac:dyDescent="0.25">
      <c r="A4">
        <v>790.78</v>
      </c>
      <c r="B4">
        <v>2</v>
      </c>
      <c r="C4">
        <v>0</v>
      </c>
      <c r="D4" s="1">
        <v>6067</v>
      </c>
      <c r="F4">
        <f t="shared" si="0"/>
        <v>2</v>
      </c>
    </row>
    <row r="5" spans="1:8" x14ac:dyDescent="0.25">
      <c r="A5">
        <v>1048.81</v>
      </c>
      <c r="B5">
        <v>2</v>
      </c>
      <c r="C5">
        <v>0</v>
      </c>
      <c r="D5" s="1">
        <v>4590</v>
      </c>
      <c r="F5">
        <f t="shared" si="0"/>
        <v>2</v>
      </c>
    </row>
    <row r="6" spans="1:8" x14ac:dyDescent="0.25">
      <c r="A6">
        <v>902.75</v>
      </c>
      <c r="B6">
        <v>0</v>
      </c>
      <c r="C6">
        <v>0</v>
      </c>
      <c r="D6" s="1">
        <v>4492</v>
      </c>
      <c r="F6">
        <f t="shared" si="0"/>
        <v>0</v>
      </c>
    </row>
    <row r="7" spans="1:8" x14ac:dyDescent="0.25">
      <c r="A7">
        <v>1022.29</v>
      </c>
      <c r="B7">
        <v>4</v>
      </c>
      <c r="C7">
        <v>0</v>
      </c>
      <c r="D7" s="1">
        <v>7749</v>
      </c>
      <c r="F7">
        <f t="shared" si="0"/>
        <v>4</v>
      </c>
    </row>
    <row r="8" spans="1:8" x14ac:dyDescent="0.25">
      <c r="A8">
        <v>865.3</v>
      </c>
      <c r="B8">
        <v>0</v>
      </c>
      <c r="C8">
        <v>0</v>
      </c>
      <c r="D8" s="1">
        <v>4693</v>
      </c>
      <c r="F8">
        <f t="shared" si="0"/>
        <v>0</v>
      </c>
    </row>
    <row r="9" spans="1:8" x14ac:dyDescent="0.25">
      <c r="A9">
        <v>929.9</v>
      </c>
      <c r="B9">
        <v>3</v>
      </c>
      <c r="C9">
        <v>0</v>
      </c>
      <c r="D9" s="1">
        <v>4593</v>
      </c>
      <c r="F9">
        <f t="shared" si="0"/>
        <v>3</v>
      </c>
    </row>
    <row r="10" spans="1:8" x14ac:dyDescent="0.25">
      <c r="A10">
        <v>839.44</v>
      </c>
      <c r="B10">
        <v>0</v>
      </c>
      <c r="C10">
        <v>0</v>
      </c>
      <c r="D10" s="1">
        <v>8174</v>
      </c>
      <c r="F10">
        <f t="shared" si="0"/>
        <v>0</v>
      </c>
    </row>
    <row r="11" spans="1:8" x14ac:dyDescent="0.25">
      <c r="A11">
        <v>837.11</v>
      </c>
      <c r="B11">
        <v>0</v>
      </c>
      <c r="C11">
        <v>0</v>
      </c>
      <c r="D11" s="1">
        <v>4894</v>
      </c>
      <c r="F11">
        <f t="shared" si="0"/>
        <v>0</v>
      </c>
    </row>
    <row r="12" spans="1:8" x14ac:dyDescent="0.25">
      <c r="A12">
        <v>755.56</v>
      </c>
      <c r="B12">
        <v>3</v>
      </c>
      <c r="C12">
        <v>0</v>
      </c>
      <c r="D12" s="1">
        <v>6687</v>
      </c>
      <c r="F12">
        <f t="shared" si="0"/>
        <v>3</v>
      </c>
    </row>
    <row r="13" spans="1:8" x14ac:dyDescent="0.25">
      <c r="A13">
        <v>1012.23</v>
      </c>
      <c r="B13">
        <v>2</v>
      </c>
      <c r="C13">
        <v>0</v>
      </c>
      <c r="D13" s="1">
        <v>6433</v>
      </c>
      <c r="F13">
        <f t="shared" si="0"/>
        <v>2</v>
      </c>
    </row>
    <row r="14" spans="1:8" x14ac:dyDescent="0.25">
      <c r="A14">
        <v>882</v>
      </c>
      <c r="B14">
        <v>0</v>
      </c>
      <c r="C14">
        <v>0</v>
      </c>
      <c r="D14" s="1">
        <v>4204</v>
      </c>
      <c r="F14">
        <f t="shared" si="0"/>
        <v>0</v>
      </c>
    </row>
    <row r="15" spans="1:8" x14ac:dyDescent="0.25">
      <c r="A15">
        <v>971.97</v>
      </c>
      <c r="B15">
        <v>0</v>
      </c>
      <c r="C15">
        <v>0</v>
      </c>
      <c r="D15" s="1">
        <v>4175</v>
      </c>
      <c r="F15">
        <f t="shared" si="0"/>
        <v>0</v>
      </c>
    </row>
    <row r="16" spans="1:8" x14ac:dyDescent="0.25">
      <c r="A16">
        <v>840.16</v>
      </c>
      <c r="B16">
        <v>2</v>
      </c>
      <c r="C16">
        <v>0</v>
      </c>
      <c r="D16" s="1">
        <v>6255</v>
      </c>
      <c r="F16">
        <f t="shared" si="0"/>
        <v>2</v>
      </c>
    </row>
    <row r="17" spans="1:6" x14ac:dyDescent="0.25">
      <c r="A17">
        <v>834.76</v>
      </c>
      <c r="B17">
        <v>0</v>
      </c>
      <c r="C17">
        <v>0</v>
      </c>
      <c r="D17" s="1">
        <v>6066</v>
      </c>
      <c r="F17">
        <f t="shared" si="0"/>
        <v>0</v>
      </c>
    </row>
    <row r="18" spans="1:6" x14ac:dyDescent="0.25">
      <c r="A18">
        <v>929.27</v>
      </c>
      <c r="B18">
        <v>3</v>
      </c>
      <c r="C18">
        <v>0</v>
      </c>
      <c r="D18" s="1">
        <v>5024</v>
      </c>
      <c r="F18">
        <f t="shared" si="0"/>
        <v>3</v>
      </c>
    </row>
    <row r="19" spans="1:6" x14ac:dyDescent="0.25">
      <c r="A19">
        <v>962.81</v>
      </c>
      <c r="B19">
        <v>0</v>
      </c>
      <c r="C19">
        <v>0</v>
      </c>
      <c r="D19" s="1">
        <v>5121</v>
      </c>
      <c r="F19">
        <f t="shared" si="0"/>
        <v>0</v>
      </c>
    </row>
    <row r="20" spans="1:6" x14ac:dyDescent="0.25">
      <c r="A20">
        <v>900.37</v>
      </c>
      <c r="B20">
        <v>1</v>
      </c>
      <c r="C20">
        <v>0</v>
      </c>
      <c r="D20" s="1">
        <v>5006</v>
      </c>
      <c r="F20">
        <f t="shared" si="0"/>
        <v>1</v>
      </c>
    </row>
    <row r="21" spans="1:6" x14ac:dyDescent="0.25">
      <c r="A21">
        <v>912.36</v>
      </c>
      <c r="B21">
        <v>1</v>
      </c>
      <c r="C21">
        <v>0</v>
      </c>
      <c r="D21" s="1">
        <v>5580</v>
      </c>
      <c r="F21">
        <f t="shared" si="0"/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21"/>
  <sheetViews>
    <sheetView workbookViewId="0">
      <selection activeCell="H3" sqref="H3"/>
    </sheetView>
  </sheetViews>
  <sheetFormatPr defaultRowHeight="14.4" x14ac:dyDescent="0.3"/>
  <sheetData>
    <row r="1" spans="1:8" x14ac:dyDescent="0.3">
      <c r="A1" t="s">
        <v>0</v>
      </c>
      <c r="B1" t="s">
        <v>46</v>
      </c>
      <c r="C1" t="s">
        <v>47</v>
      </c>
      <c r="D1" t="s">
        <v>48</v>
      </c>
      <c r="H1" t="s">
        <v>40</v>
      </c>
    </row>
    <row r="2" spans="1:8" x14ac:dyDescent="0.3">
      <c r="A2">
        <v>2.54</v>
      </c>
      <c r="B2">
        <v>2</v>
      </c>
      <c r="C2">
        <v>0</v>
      </c>
      <c r="D2">
        <v>4.7969999999999997</v>
      </c>
      <c r="F2">
        <f t="shared" ref="F2:F21" si="0">B2+C2*20</f>
        <v>2</v>
      </c>
      <c r="H2">
        <f>_xlfn.T.TEST(F2:F21,control!F2:F21,1,3)</f>
        <v>1.1573690619632201E-4</v>
      </c>
    </row>
    <row r="3" spans="1:8" x14ac:dyDescent="0.3">
      <c r="A3">
        <v>1.23</v>
      </c>
      <c r="B3">
        <v>2</v>
      </c>
      <c r="C3">
        <v>0</v>
      </c>
      <c r="D3">
        <v>4.5190000000000001</v>
      </c>
      <c r="F3">
        <f t="shared" si="0"/>
        <v>2</v>
      </c>
    </row>
    <row r="4" spans="1:8" x14ac:dyDescent="0.3">
      <c r="A4">
        <v>1.36</v>
      </c>
      <c r="B4">
        <v>3</v>
      </c>
      <c r="C4">
        <v>0</v>
      </c>
      <c r="D4">
        <v>5.5010000000000003</v>
      </c>
      <c r="F4">
        <f t="shared" si="0"/>
        <v>3</v>
      </c>
    </row>
    <row r="5" spans="1:8" x14ac:dyDescent="0.3">
      <c r="A5">
        <v>1.23</v>
      </c>
      <c r="B5">
        <v>1</v>
      </c>
      <c r="C5">
        <v>0</v>
      </c>
      <c r="D5">
        <v>4.4710000000000001</v>
      </c>
      <c r="F5">
        <f t="shared" si="0"/>
        <v>1</v>
      </c>
    </row>
    <row r="6" spans="1:8" x14ac:dyDescent="0.3">
      <c r="A6">
        <v>1.1599999999999999</v>
      </c>
      <c r="B6">
        <v>2</v>
      </c>
      <c r="C6">
        <v>0</v>
      </c>
      <c r="D6">
        <v>4.9329999999999998</v>
      </c>
      <c r="F6">
        <f t="shared" si="0"/>
        <v>2</v>
      </c>
    </row>
    <row r="7" spans="1:8" x14ac:dyDescent="0.3">
      <c r="A7">
        <v>1.27</v>
      </c>
      <c r="B7">
        <v>2</v>
      </c>
      <c r="C7">
        <v>0</v>
      </c>
      <c r="D7">
        <v>5.1639999999999997</v>
      </c>
      <c r="F7">
        <f t="shared" si="0"/>
        <v>2</v>
      </c>
    </row>
    <row r="8" spans="1:8" x14ac:dyDescent="0.3">
      <c r="A8">
        <v>3.25</v>
      </c>
      <c r="B8">
        <v>1</v>
      </c>
      <c r="C8">
        <v>0</v>
      </c>
      <c r="D8">
        <v>5.0469999999999997</v>
      </c>
      <c r="F8">
        <f t="shared" si="0"/>
        <v>1</v>
      </c>
    </row>
    <row r="9" spans="1:8" x14ac:dyDescent="0.3">
      <c r="A9">
        <v>1.29</v>
      </c>
      <c r="B9">
        <v>2</v>
      </c>
      <c r="C9">
        <v>0</v>
      </c>
      <c r="D9">
        <v>4.1319999999999997</v>
      </c>
      <c r="F9">
        <f t="shared" si="0"/>
        <v>2</v>
      </c>
    </row>
    <row r="10" spans="1:8" x14ac:dyDescent="0.3">
      <c r="A10">
        <v>1.08</v>
      </c>
      <c r="B10">
        <v>1</v>
      </c>
      <c r="C10">
        <v>0</v>
      </c>
      <c r="D10">
        <v>4.4329999999999998</v>
      </c>
      <c r="F10">
        <f t="shared" si="0"/>
        <v>1</v>
      </c>
    </row>
    <row r="11" spans="1:8" x14ac:dyDescent="0.3">
      <c r="A11">
        <v>1.67</v>
      </c>
      <c r="B11">
        <v>0</v>
      </c>
      <c r="C11">
        <v>0</v>
      </c>
      <c r="D11">
        <v>5.1470000000000002</v>
      </c>
      <c r="F11">
        <f t="shared" si="0"/>
        <v>0</v>
      </c>
    </row>
    <row r="12" spans="1:8" x14ac:dyDescent="0.3">
      <c r="A12">
        <v>1.31</v>
      </c>
      <c r="B12">
        <v>3</v>
      </c>
      <c r="C12">
        <v>0</v>
      </c>
      <c r="D12">
        <v>5.0380000000000003</v>
      </c>
      <c r="F12">
        <f t="shared" si="0"/>
        <v>3</v>
      </c>
    </row>
    <row r="13" spans="1:8" x14ac:dyDescent="0.3">
      <c r="A13">
        <v>1.29</v>
      </c>
      <c r="B13">
        <v>2</v>
      </c>
      <c r="C13">
        <v>0</v>
      </c>
      <c r="D13">
        <v>5.0540000000000003</v>
      </c>
      <c r="F13">
        <f t="shared" si="0"/>
        <v>2</v>
      </c>
    </row>
    <row r="14" spans="1:8" x14ac:dyDescent="0.3">
      <c r="A14">
        <v>1.31</v>
      </c>
      <c r="B14">
        <v>4</v>
      </c>
      <c r="C14">
        <v>0</v>
      </c>
      <c r="D14">
        <v>4.6849999999999996</v>
      </c>
      <c r="F14">
        <f t="shared" si="0"/>
        <v>4</v>
      </c>
    </row>
    <row r="15" spans="1:8" x14ac:dyDescent="0.3">
      <c r="A15">
        <v>1.32</v>
      </c>
      <c r="B15">
        <v>2</v>
      </c>
      <c r="C15">
        <v>0</v>
      </c>
      <c r="D15">
        <v>4.859</v>
      </c>
      <c r="F15">
        <f t="shared" si="0"/>
        <v>2</v>
      </c>
    </row>
    <row r="16" spans="1:8" x14ac:dyDescent="0.3">
      <c r="A16">
        <v>1.3</v>
      </c>
      <c r="B16">
        <v>2</v>
      </c>
      <c r="C16">
        <v>0</v>
      </c>
      <c r="D16">
        <v>5.4710000000000001</v>
      </c>
      <c r="F16">
        <f t="shared" si="0"/>
        <v>2</v>
      </c>
    </row>
    <row r="17" spans="1:6" x14ac:dyDescent="0.3">
      <c r="A17">
        <v>1.33</v>
      </c>
      <c r="B17">
        <v>0</v>
      </c>
      <c r="C17">
        <v>0</v>
      </c>
      <c r="D17">
        <v>5.556</v>
      </c>
      <c r="F17">
        <f t="shared" si="0"/>
        <v>0</v>
      </c>
    </row>
    <row r="18" spans="1:6" x14ac:dyDescent="0.3">
      <c r="A18">
        <v>1.1399999999999999</v>
      </c>
      <c r="B18">
        <v>2</v>
      </c>
      <c r="C18">
        <v>0</v>
      </c>
      <c r="D18">
        <v>5.2450000000000001</v>
      </c>
      <c r="F18">
        <f t="shared" si="0"/>
        <v>2</v>
      </c>
    </row>
    <row r="19" spans="1:6" x14ac:dyDescent="0.3">
      <c r="A19">
        <v>1.1399999999999999</v>
      </c>
      <c r="B19">
        <v>0</v>
      </c>
      <c r="C19">
        <v>0</v>
      </c>
      <c r="D19">
        <v>4.032</v>
      </c>
      <c r="F19">
        <f t="shared" si="0"/>
        <v>0</v>
      </c>
    </row>
    <row r="20" spans="1:6" x14ac:dyDescent="0.3">
      <c r="A20">
        <v>1.1100000000000001</v>
      </c>
      <c r="B20">
        <v>2</v>
      </c>
      <c r="C20">
        <v>0</v>
      </c>
      <c r="D20">
        <v>4.8170000000000002</v>
      </c>
      <c r="F20">
        <f t="shared" si="0"/>
        <v>2</v>
      </c>
    </row>
    <row r="21" spans="1:6" x14ac:dyDescent="0.3">
      <c r="A21">
        <v>1.29</v>
      </c>
      <c r="B21">
        <v>1</v>
      </c>
      <c r="C21">
        <v>0</v>
      </c>
      <c r="D21">
        <v>4.8559999999999999</v>
      </c>
      <c r="F21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28</vt:i4>
      </vt:variant>
    </vt:vector>
  </HeadingPairs>
  <TitlesOfParts>
    <vt:vector size="28" baseType="lpstr">
      <vt:lpstr>Table</vt:lpstr>
      <vt:lpstr>control</vt:lpstr>
      <vt:lpstr>wall-vision</vt:lpstr>
      <vt:lpstr>very-high-iteration</vt:lpstr>
      <vt:lpstr>spatial-linear-state</vt:lpstr>
      <vt:lpstr>spatial-linear-binned-state</vt:lpstr>
      <vt:lpstr>small-batchsize-small-poolsize</vt:lpstr>
      <vt:lpstr>small-batchsize</vt:lpstr>
      <vt:lpstr>random-training</vt:lpstr>
      <vt:lpstr>prio-sweep</vt:lpstr>
      <vt:lpstr>paddle-vision</vt:lpstr>
      <vt:lpstr>only-ball-vision</vt:lpstr>
      <vt:lpstr> low-iteration-prio-sweep</vt:lpstr>
      <vt:lpstr>low-iteration-human-ass</vt:lpstr>
      <vt:lpstr>low-iteration</vt:lpstr>
      <vt:lpstr>human-ass</vt:lpstr>
      <vt:lpstr>high-speed-high-iteration</vt:lpstr>
      <vt:lpstr>high-speed</vt:lpstr>
      <vt:lpstr>high-iteration</vt:lpstr>
      <vt:lpstr>hierarchical-learning</vt:lpstr>
      <vt:lpstr>ham3-vision</vt:lpstr>
      <vt:lpstr>full-games</vt:lpstr>
      <vt:lpstr>frame-stacking</vt:lpstr>
      <vt:lpstr>absolute-no-paddle-vision</vt:lpstr>
      <vt:lpstr>fixed-training-sequence</vt:lpstr>
      <vt:lpstr>filter-count-3</vt:lpstr>
      <vt:lpstr>absolute-paddle-vision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Falsted</cp:lastModifiedBy>
  <dcterms:created xsi:type="dcterms:W3CDTF">2015-08-05T10:49:41Z</dcterms:created>
  <dcterms:modified xsi:type="dcterms:W3CDTF">2015-08-17T08:48:40Z</dcterms:modified>
</cp:coreProperties>
</file>